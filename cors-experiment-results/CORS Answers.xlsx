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DOCUMENTOS\TRABAJO\IIMAS\PAPERS AND CONFERENCES\Interfaz minima diseño\EVALUACIONES\"/>
    </mc:Choice>
  </mc:AlternateContent>
  <xr:revisionPtr revIDLastSave="0" documentId="13_ncr:1_{082AEE77-3142-4ED4-9324-D432F2452B8C}" xr6:coauthVersionLast="47" xr6:coauthVersionMax="47" xr10:uidLastSave="{00000000-0000-0000-0000-000000000000}"/>
  <bookViews>
    <workbookView xWindow="1680" yWindow="4170" windowWidth="28800" windowHeight="15345" xr2:uid="{00000000-000D-0000-FFFF-FFFF00000000}"/>
  </bookViews>
  <sheets>
    <sheet name="Respuestas de formulario 1" sheetId="1" r:id="rId1"/>
  </sheets>
  <calcPr calcId="191029"/>
  <fileRecoveryPr repairLoad="1"/>
</workbook>
</file>

<file path=xl/calcChain.xml><?xml version="1.0" encoding="utf-8"?>
<calcChain xmlns="http://schemas.openxmlformats.org/spreadsheetml/2006/main">
  <c r="L18" i="1" l="1"/>
  <c r="M18" i="1"/>
  <c r="N18" i="1"/>
  <c r="O18" i="1"/>
  <c r="P18" i="1"/>
  <c r="L17" i="1"/>
  <c r="M17" i="1"/>
  <c r="N17" i="1"/>
  <c r="O17" i="1"/>
  <c r="P17" i="1"/>
  <c r="G18" i="1"/>
  <c r="H18" i="1"/>
  <c r="I18" i="1"/>
  <c r="J18" i="1"/>
  <c r="K18" i="1"/>
  <c r="G17" i="1"/>
  <c r="H17" i="1"/>
  <c r="I17" i="1"/>
  <c r="J17" i="1"/>
  <c r="K17" i="1"/>
  <c r="F18" i="1"/>
  <c r="F17" i="1"/>
  <c r="C17" i="1"/>
  <c r="P44" i="1"/>
  <c r="K46" i="1"/>
  <c r="L27" i="1"/>
  <c r="L28" i="1"/>
  <c r="L29" i="1"/>
  <c r="L30" i="1"/>
  <c r="L31" i="1"/>
  <c r="L32" i="1"/>
  <c r="L34" i="1"/>
  <c r="L35" i="1"/>
  <c r="L36" i="1"/>
  <c r="L37" i="1"/>
  <c r="L38" i="1"/>
  <c r="L26" i="1"/>
  <c r="P39" i="1"/>
  <c r="Q26" i="1"/>
  <c r="Q27" i="1"/>
  <c r="Q28" i="1"/>
  <c r="Q29" i="1"/>
  <c r="Q30" i="1"/>
  <c r="Q31" i="1"/>
  <c r="Q32" i="1"/>
  <c r="Q33" i="1"/>
  <c r="Q34" i="1"/>
  <c r="Q35" i="1"/>
  <c r="Q36" i="1"/>
  <c r="Q25" i="1"/>
  <c r="P26" i="1"/>
  <c r="P27" i="1"/>
  <c r="P28" i="1"/>
  <c r="P29" i="1"/>
  <c r="P30" i="1"/>
  <c r="P31" i="1"/>
  <c r="P32" i="1"/>
  <c r="P33" i="1"/>
  <c r="P34" i="1"/>
  <c r="P35" i="1"/>
  <c r="P36" i="1"/>
  <c r="P25" i="1"/>
  <c r="K27" i="1"/>
  <c r="K28" i="1"/>
  <c r="K29" i="1"/>
  <c r="K30" i="1"/>
  <c r="K31" i="1"/>
  <c r="K32" i="1"/>
  <c r="K33" i="1"/>
  <c r="L33" i="1" s="1"/>
  <c r="K34" i="1"/>
  <c r="K35" i="1"/>
  <c r="K36" i="1"/>
  <c r="K37" i="1"/>
  <c r="K38" i="1"/>
  <c r="K26" i="1"/>
  <c r="K42" i="1" l="1"/>
</calcChain>
</file>

<file path=xl/sharedStrings.xml><?xml version="1.0" encoding="utf-8"?>
<sst xmlns="http://schemas.openxmlformats.org/spreadsheetml/2006/main" count="122" uniqueCount="92">
  <si>
    <t>Marca temporal</t>
  </si>
  <si>
    <t>Escribe tu nombre completo</t>
  </si>
  <si>
    <t>Escribe tu edad</t>
  </si>
  <si>
    <t>Escribe tu sexo</t>
  </si>
  <si>
    <t>Nivel de educación</t>
  </si>
  <si>
    <t xml:space="preserve">¿Qué tan demandante fue mentalmente la tarea? (Demanda Mental) </t>
  </si>
  <si>
    <t xml:space="preserve">¿Qué tan demandante fue físicamente la tarea? (Demanda Mental) </t>
  </si>
  <si>
    <t>¿Qué tan apresurado o acelerado fue el ritmo de la tarea?</t>
  </si>
  <si>
    <t>¿Qué tan exitoso(a) fuiste en lograr lo que se te pidió?</t>
  </si>
  <si>
    <t>¿Qué tanto tuviste que esforzarte para lograr tu nivel de desempeño?</t>
  </si>
  <si>
    <t>¿Qué tan inseguro(a), desanimado(a), irritado(a), estresado(a) o molesto(a) te sentiste?</t>
  </si>
  <si>
    <r>
      <rPr>
        <b/>
        <sz val="10"/>
        <color theme="1"/>
        <rFont val="Arial"/>
      </rPr>
      <t>Me senti alegre y de buen ánimo.</t>
    </r>
    <r>
      <rPr>
        <sz val="10"/>
        <color theme="1"/>
        <rFont val="Arial"/>
      </rPr>
      <t xml:space="preserve">
0 = En ningún momento, 1 = En algunas veces, 2 = Menos de la mitad del tiempo,
 3 = Más de la mitad del tiempo, 4 = La mayoria del tiempo, 5 = Todo el tiempo</t>
    </r>
  </si>
  <si>
    <r>
      <rPr>
        <b/>
        <sz val="10"/>
        <color theme="1"/>
        <rFont val="Arial"/>
      </rPr>
      <t>Me senti tranquilo(a) y relajado(a).</t>
    </r>
    <r>
      <rPr>
        <sz val="10"/>
        <color theme="1"/>
        <rFont val="Arial"/>
      </rPr>
      <t xml:space="preserve">
0 = En ningún momento, 1 = En algunas veces, 2 = Menos de la mitad del tiempo,
 3 = Más de la mitad del tiempo, 4 = La mayoria del tiempo, 5 = Todo el tiempo</t>
    </r>
  </si>
  <si>
    <r>
      <rPr>
        <b/>
        <sz val="10"/>
        <color theme="1"/>
        <rFont val="Arial"/>
      </rPr>
      <t>Me he senti activo(a) y lleno(a) de energía.</t>
    </r>
    <r>
      <rPr>
        <sz val="10"/>
        <color theme="1"/>
        <rFont val="Arial"/>
      </rPr>
      <t xml:space="preserve">
0 = En ningún momento, 1 = En algunas veces, 2 = Menos de la mitad del tiempo,
 3 = Más de la mitad del tiempo, 4 = La mayoria del tiempo, 5 = Todo el tiempo</t>
    </r>
  </si>
  <si>
    <r>
      <rPr>
        <b/>
        <sz val="10"/>
        <color theme="1"/>
        <rFont val="Arial"/>
      </rPr>
      <t>Me desperte sintiéndome fresco(a) y descansado(a).</t>
    </r>
    <r>
      <rPr>
        <sz val="10"/>
        <color theme="1"/>
        <rFont val="Arial"/>
      </rPr>
      <t xml:space="preserve">
0 = En ningún momento, 1 = En algunas veces, 2 = Menos de la mitad del tiempo,
 3 = Más de la mitad del tiempo, 4 = La mayoria del tiempo, 5 = Todo el tiempo</t>
    </r>
  </si>
  <si>
    <r>
      <rPr>
        <b/>
        <sz val="10"/>
        <color theme="1"/>
        <rFont val="Arial"/>
      </rPr>
      <t>Mi vida diaria ha estado llena de cosas que me interesan.</t>
    </r>
    <r>
      <rPr>
        <sz val="10"/>
        <color theme="1"/>
        <rFont val="Arial"/>
      </rPr>
      <t xml:space="preserve">
0 = En ningún momento, 1 = En algunas veces, 2 = Menos de la mitad del tiempo,
 3 = Más de la mitad del tiempo, 4 = La mayoria del tiempo, 5 = Todo el tiempo</t>
    </r>
  </si>
  <si>
    <t xml:space="preserve">¿Hubo algo que te pareció innecesario o que distrajera durante el uso del sistema?  </t>
  </si>
  <si>
    <t>¿Hubo algo en el sistema que te ayudó a sentirte más tranquilo(a) o confiado(a)?</t>
  </si>
  <si>
    <t>¿Qué cambiarías del sistema para hacerlo más fácil o cómodo de usar?</t>
  </si>
  <si>
    <t>Tienes algun/os comentario/s extra/s acerca de esta experiencia, por favor escribelos</t>
  </si>
  <si>
    <t>Denisse Enríquez</t>
  </si>
  <si>
    <t>Femenino</t>
  </si>
  <si>
    <t>Licenciatura</t>
  </si>
  <si>
    <t>Me pesaba un poco el prototipo y eso me llegó a cansar.</t>
  </si>
  <si>
    <t>Mmmm no</t>
  </si>
  <si>
    <t>El orden de las flechas. Tenía mi brazo como doblado hacia mí y a veces me confundía con a donde debía ir.</t>
  </si>
  <si>
    <t xml:space="preserve">Igual me costó trabajo ver las luces por el sol. </t>
  </si>
  <si>
    <t>Adriana María González García</t>
  </si>
  <si>
    <t>El prender todas las flechas para dar reversa</t>
  </si>
  <si>
    <t>Me gustaron las luces, que encendieran para indicar la dirección a la que tenias que girar</t>
  </si>
  <si>
    <t>Agregaría una flecha de reversa tal vez</t>
  </si>
  <si>
    <t>Julia Fernanda de la Vega Caamaño</t>
  </si>
  <si>
    <t>El uso doble de la lámpara de en medio (la de seguir).</t>
  </si>
  <si>
    <t>El alto.</t>
  </si>
  <si>
    <t>No repetir de nuevo el seguir si ya se dio una vuelta. Cambiar el tono de los focos.</t>
  </si>
  <si>
    <t xml:space="preserve">Sería más cómodo el uso del dispositivo si el brazo estuviera pegado al pecho. Es decir, rotar todas las flechas a 90 grados. </t>
  </si>
  <si>
    <t xml:space="preserve">María Luisa Becerril Hernández </t>
  </si>
  <si>
    <t>No</t>
  </si>
  <si>
    <t xml:space="preserve">Las vueltas amarillas que era solo una re dirección y que es más preciso </t>
  </si>
  <si>
    <t xml:space="preserve">Hacerlo más pequeño y discreto </t>
  </si>
  <si>
    <t xml:space="preserve">Me parece un dispositivo muy interesante, sobre todo en espacios con tránsito </t>
  </si>
  <si>
    <t xml:space="preserve">Santiago Ambrz </t>
  </si>
  <si>
    <t>Masculino</t>
  </si>
  <si>
    <t>Los coches</t>
  </si>
  <si>
    <t xml:space="preserve">Las luces me ayudo, también cuando papeada  ne ayudo </t>
  </si>
  <si>
    <t xml:space="preserve">Me gustaría que tuviera vibraciones para indicar cuando dar vuelta, puede ser por diferencia de vibraciones o por zona del brazo </t>
  </si>
  <si>
    <t xml:space="preserve">Nada por el momento </t>
  </si>
  <si>
    <t xml:space="preserve">Jose Eduardo Echavarría Rodríguez </t>
  </si>
  <si>
    <t xml:space="preserve">Que la prueba fue en un estacionamiento, por lo que hubo que prestar atención adicional al flujo vehicular. </t>
  </si>
  <si>
    <t xml:space="preserve">Las indicaciones del dispositivo son claras y fáciles de entender. </t>
  </si>
  <si>
    <t xml:space="preserve">Que los LED brillen más o sean más fáciles de ver. </t>
  </si>
  <si>
    <t>Ana Laura Matus Marcos</t>
  </si>
  <si>
    <t xml:space="preserve">Como factor externo el rayo del sol impedía que viera bien </t>
  </si>
  <si>
    <t>haría su uso más intuitivo y mejoraría la pantalla por temas de luz que no permiten tener buena visibilidad</t>
  </si>
  <si>
    <t xml:space="preserve">Carol Granciano </t>
  </si>
  <si>
    <t>20 años</t>
  </si>
  <si>
    <t>Debido a que estaba en un estacionamiento, tenia que estar mas alerta de mis alrededores.</t>
  </si>
  <si>
    <t>Las flechas ayudaron mucho a no desviarme del camino.</t>
  </si>
  <si>
    <t>Que el tamaño sea mas compacto y la luz que emite sea mas brillante cuando hay luz de sol directa, ya que tenia que cubrirla con mi mano para realmente ver el cambio de luces.</t>
  </si>
  <si>
    <t>N/A</t>
  </si>
  <si>
    <t xml:space="preserve">David Alejandro Lambarria Gómez </t>
  </si>
  <si>
    <t>Nada</t>
  </si>
  <si>
    <t>Todo estuvo muy bien</t>
  </si>
  <si>
    <t>Acomodar mejor las manesillas</t>
  </si>
  <si>
    <t>Todo muy bien</t>
  </si>
  <si>
    <t>Dulce María García Bonifacio</t>
  </si>
  <si>
    <t>La señal amarilla</t>
  </si>
  <si>
    <t>Que te pudiera decir con un poco de anticipación hacia donde girar</t>
  </si>
  <si>
    <t>Que se mantiene marcado el camino ya recorrido</t>
  </si>
  <si>
    <t>Que puedes ver con anticipación la ruta</t>
  </si>
  <si>
    <t>Que te recuerde el momento de dar vuelta</t>
  </si>
  <si>
    <t>Sofía Revuelta Vallarta</t>
  </si>
  <si>
    <t>El sol</t>
  </si>
  <si>
    <t>La sencillez</t>
  </si>
  <si>
    <t>Que sea mas fácil verlo si hay mucho sol y que tenga sonido</t>
  </si>
  <si>
    <t>Sería bueno que tuviera sonido</t>
  </si>
  <si>
    <t>Talitha Mar Casillas Cerón</t>
  </si>
  <si>
    <t>no</t>
  </si>
  <si>
    <t>la luz</t>
  </si>
  <si>
    <t>que fuera visible también con mucho sol</t>
  </si>
  <si>
    <t>estaría bien poder previsualizar la ruta</t>
  </si>
  <si>
    <t>Sarah mestre canseco</t>
  </si>
  <si>
    <t>Pesaba un poco en el brazo, empezó a dolerme el brazo</t>
  </si>
  <si>
    <t>Las flechas eran claras</t>
  </si>
  <si>
    <t xml:space="preserve">Que sea más ligero, algo que te indique que te toca moverte que no sea solo lo visual uno de sonido hubiera sido útil, algo para hacer las luces más visibles </t>
  </si>
  <si>
    <t>Estuvo bien pero definitivamente funciona mejor en la sombra</t>
  </si>
  <si>
    <t>Calculo NASA TLX</t>
  </si>
  <si>
    <t>Calculo WHO-5</t>
  </si>
  <si>
    <t>TOTAL</t>
  </si>
  <si>
    <t>PROMEDIO</t>
  </si>
  <si>
    <t>Adecuado/Bueno</t>
  </si>
  <si>
    <t>Moderate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</si>
</sst>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m/d/yyyy\ h:mm:ss"/>
  </numFmts>
  <fonts count="9" x14ac:knownFonts="1">
    <font>
      <sz val="10"/>
      <color rgb="FF000000"/>
      <name val="Arial"/>
      <scheme val="minor"/>
    </font>
    <font>
      <sz val="10"/>
      <color theme="1"/>
      <name val="Arial"/>
      <scheme val="minor"/>
    </font>
    <font>
      <b/>
      <sz val="10"/>
      <color theme="1"/>
      <name val="Arial"/>
      <scheme val="minor"/>
    </font>
    <font>
      <b/>
      <sz val="10"/>
      <color theme="1"/>
      <name val="Arial"/>
    </font>
    <font>
      <sz val="10"/>
      <color theme="1"/>
      <name val="Arial"/>
    </font>
    <font>
      <sz val="10"/>
      <color theme="1"/>
      <name val="Arial"/>
      <family val="2"/>
      <scheme val="minor"/>
    </font>
    <font>
      <sz val="10"/>
      <color rgb="FF000000"/>
      <name val="Arial"/>
      <family val="2"/>
      <scheme val="minor"/>
    </font>
    <font>
      <b/>
      <sz val="10"/>
      <color rgb="FF000000"/>
      <name val="Arial"/>
      <family val="2"/>
      <scheme val="minor"/>
    </font>
    <font>
      <sz val="12"/>
      <color rgb="FF001D35"/>
      <name val="Courier New"/>
      <family val="3"/>
    </font>
  </fonts>
  <fills count="4">
    <fill>
      <patternFill patternType="none"/>
    </fill>
    <fill>
      <patternFill patternType="gray125"/>
    </fill>
    <fill>
      <patternFill patternType="solid">
        <fgColor rgb="FFFFFFFF"/>
        <bgColor rgb="FFFFFFFF"/>
      </patternFill>
    </fill>
    <fill>
      <patternFill patternType="solid">
        <fgColor rgb="FFFFFF00"/>
        <bgColor indexed="64"/>
      </patternFill>
    </fill>
  </fills>
  <borders count="13">
    <border>
      <left/>
      <right/>
      <top/>
      <bottom/>
      <diagonal/>
    </border>
    <border>
      <left style="thin">
        <color rgb="FF442F65"/>
      </left>
      <right style="thin">
        <color rgb="FF5B3F86"/>
      </right>
      <top style="thin">
        <color rgb="FF442F65"/>
      </top>
      <bottom style="thin">
        <color rgb="FF442F65"/>
      </bottom>
      <diagonal/>
    </border>
    <border>
      <left style="thin">
        <color rgb="FF5B3F86"/>
      </left>
      <right style="thin">
        <color rgb="FF5B3F86"/>
      </right>
      <top style="thin">
        <color rgb="FF442F65"/>
      </top>
      <bottom style="thin">
        <color rgb="FF442F65"/>
      </bottom>
      <diagonal/>
    </border>
    <border>
      <left style="thin">
        <color rgb="FF5B3F86"/>
      </left>
      <right style="thin">
        <color rgb="FF442F65"/>
      </right>
      <top style="thin">
        <color rgb="FF442F65"/>
      </top>
      <bottom style="thin">
        <color rgb="FF442F65"/>
      </bottom>
      <diagonal/>
    </border>
    <border>
      <left style="thin">
        <color rgb="FF442F65"/>
      </left>
      <right style="thin">
        <color rgb="FFFFFFFF"/>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
      <left style="thin">
        <color rgb="FFFFFFFF"/>
      </left>
      <right style="thin">
        <color rgb="FF442F65"/>
      </right>
      <top style="thin">
        <color rgb="FFFFFFFF"/>
      </top>
      <bottom style="thin">
        <color rgb="FFFFFFFF"/>
      </bottom>
      <diagonal/>
    </border>
    <border>
      <left style="thin">
        <color rgb="FF442F65"/>
      </left>
      <right style="thin">
        <color rgb="FFF8F9FA"/>
      </right>
      <top style="thin">
        <color rgb="FFF8F9FA"/>
      </top>
      <bottom style="thin">
        <color rgb="FFF8F9FA"/>
      </bottom>
      <diagonal/>
    </border>
    <border>
      <left style="thin">
        <color rgb="FFF8F9FA"/>
      </left>
      <right style="thin">
        <color rgb="FFF8F9FA"/>
      </right>
      <top style="thin">
        <color rgb="FFF8F9FA"/>
      </top>
      <bottom style="thin">
        <color rgb="FFF8F9FA"/>
      </bottom>
      <diagonal/>
    </border>
    <border>
      <left style="thin">
        <color rgb="FFF8F9FA"/>
      </left>
      <right style="thin">
        <color rgb="FF442F65"/>
      </right>
      <top style="thin">
        <color rgb="FFF8F9FA"/>
      </top>
      <bottom style="thin">
        <color rgb="FFF8F9FA"/>
      </bottom>
      <diagonal/>
    </border>
    <border>
      <left style="thin">
        <color rgb="FF442F65"/>
      </left>
      <right style="thin">
        <color rgb="FFF8F9FA"/>
      </right>
      <top style="thin">
        <color rgb="FFF8F9FA"/>
      </top>
      <bottom style="thin">
        <color rgb="FF442F65"/>
      </bottom>
      <diagonal/>
    </border>
    <border>
      <left style="thin">
        <color rgb="FFF8F9FA"/>
      </left>
      <right style="thin">
        <color rgb="FFF8F9FA"/>
      </right>
      <top style="thin">
        <color rgb="FFF8F9FA"/>
      </top>
      <bottom style="thin">
        <color rgb="FF442F65"/>
      </bottom>
      <diagonal/>
    </border>
    <border>
      <left style="thin">
        <color rgb="FFF8F9FA"/>
      </left>
      <right style="thin">
        <color rgb="FF442F65"/>
      </right>
      <top style="thin">
        <color rgb="FFF8F9FA"/>
      </top>
      <bottom style="thin">
        <color rgb="FF442F65"/>
      </bottom>
      <diagonal/>
    </border>
  </borders>
  <cellStyleXfs count="1">
    <xf numFmtId="0" fontId="0" fillId="0" borderId="0"/>
  </cellStyleXfs>
  <cellXfs count="21">
    <xf numFmtId="0" fontId="0" fillId="0" borderId="0" xfId="0"/>
    <xf numFmtId="0" fontId="1" fillId="0" borderId="1" xfId="0" applyFont="1" applyBorder="1" applyAlignment="1">
      <alignment horizontal="left" vertical="center"/>
    </xf>
    <xf numFmtId="0" fontId="1" fillId="0" borderId="2" xfId="0" applyFont="1" applyBorder="1" applyAlignment="1">
      <alignment horizontal="left" vertical="center"/>
    </xf>
    <xf numFmtId="0" fontId="2" fillId="0" borderId="2" xfId="0" applyFont="1" applyBorder="1" applyAlignment="1">
      <alignment horizontal="left" vertical="center"/>
    </xf>
    <xf numFmtId="0" fontId="1" fillId="0" borderId="3" xfId="0" applyFont="1" applyBorder="1" applyAlignment="1">
      <alignment horizontal="left" vertical="center"/>
    </xf>
    <xf numFmtId="164" fontId="1" fillId="0" borderId="4" xfId="0" applyNumberFormat="1" applyFont="1" applyBorder="1" applyAlignment="1">
      <alignment vertical="center"/>
    </xf>
    <xf numFmtId="0" fontId="1" fillId="0" borderId="5" xfId="0" applyFont="1" applyBorder="1" applyAlignment="1">
      <alignment vertical="center"/>
    </xf>
    <xf numFmtId="0" fontId="1" fillId="0" borderId="6" xfId="0" applyFont="1" applyBorder="1" applyAlignment="1">
      <alignment vertical="center"/>
    </xf>
    <xf numFmtId="164" fontId="1" fillId="0" borderId="7" xfId="0" applyNumberFormat="1" applyFont="1" applyBorder="1" applyAlignment="1">
      <alignment vertical="center"/>
    </xf>
    <xf numFmtId="0" fontId="1" fillId="0" borderId="8" xfId="0" applyFont="1" applyBorder="1" applyAlignment="1">
      <alignment vertical="center"/>
    </xf>
    <xf numFmtId="0" fontId="1" fillId="0" borderId="9" xfId="0" applyFont="1" applyBorder="1" applyAlignment="1">
      <alignment vertical="center"/>
    </xf>
    <xf numFmtId="164" fontId="1" fillId="0" borderId="10" xfId="0" applyNumberFormat="1" applyFont="1" applyBorder="1" applyAlignment="1">
      <alignment vertical="center"/>
    </xf>
    <xf numFmtId="0" fontId="1" fillId="0" borderId="11" xfId="0" applyFont="1" applyBorder="1" applyAlignment="1">
      <alignment vertical="center"/>
    </xf>
    <xf numFmtId="0" fontId="1" fillId="0" borderId="12" xfId="0" applyFont="1" applyBorder="1" applyAlignment="1">
      <alignment vertical="center"/>
    </xf>
    <xf numFmtId="164" fontId="5" fillId="2" borderId="4" xfId="0" applyNumberFormat="1" applyFont="1" applyFill="1" applyBorder="1" applyAlignment="1">
      <alignment vertical="center"/>
    </xf>
    <xf numFmtId="0" fontId="5" fillId="2" borderId="5" xfId="0" applyFont="1" applyFill="1" applyBorder="1" applyAlignment="1">
      <alignment vertical="center"/>
    </xf>
    <xf numFmtId="0" fontId="5" fillId="2" borderId="6" xfId="0" applyFont="1" applyFill="1" applyBorder="1" applyAlignment="1">
      <alignment vertical="center"/>
    </xf>
    <xf numFmtId="0" fontId="2" fillId="3" borderId="2" xfId="0" applyFont="1" applyFill="1" applyBorder="1" applyAlignment="1">
      <alignment horizontal="left" vertical="center"/>
    </xf>
    <xf numFmtId="0" fontId="6" fillId="0" borderId="0" xfId="0" applyFont="1"/>
    <xf numFmtId="0" fontId="7" fillId="0" borderId="0" xfId="0" applyFont="1"/>
    <xf numFmtId="0" fontId="8" fillId="0" borderId="0" xfId="0" applyFont="1"/>
  </cellXfs>
  <cellStyles count="1">
    <cellStyle name="Normal" xfId="0" builtinId="0"/>
  </cellStyles>
  <dxfs count="3">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s>
  <tableStyles count="1">
    <tableStyle name="Respuestas de formulario 1-style" pivot="0" count="3" xr9:uid="{00000000-0011-0000-FFFF-FFFF00000000}">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3</xdr:col>
      <xdr:colOff>447675</xdr:colOff>
      <xdr:row>25</xdr:row>
      <xdr:rowOff>38100</xdr:rowOff>
    </xdr:from>
    <xdr:to>
      <xdr:col>6</xdr:col>
      <xdr:colOff>1124748</xdr:colOff>
      <xdr:row>32</xdr:row>
      <xdr:rowOff>152611</xdr:rowOff>
    </xdr:to>
    <xdr:pic>
      <xdr:nvPicPr>
        <xdr:cNvPr id="2" name="Imagen 1">
          <a:extLst>
            <a:ext uri="{FF2B5EF4-FFF2-40B4-BE49-F238E27FC236}">
              <a16:creationId xmlns:a16="http://schemas.microsoft.com/office/drawing/2014/main" id="{91535435-1E50-4063-A947-5FC74554A209}"/>
            </a:ext>
          </a:extLst>
        </xdr:cNvPr>
        <xdr:cNvPicPr>
          <a:picLocks noChangeAspect="1"/>
        </xdr:cNvPicPr>
      </xdr:nvPicPr>
      <xdr:blipFill>
        <a:blip xmlns:r="http://schemas.openxmlformats.org/officeDocument/2006/relationships" r:embed="rId1"/>
        <a:stretch>
          <a:fillRect/>
        </a:stretch>
      </xdr:blipFill>
      <xdr:spPr>
        <a:xfrm>
          <a:off x="4676775" y="5038725"/>
          <a:ext cx="5715798" cy="1514686"/>
        </a:xfrm>
        <a:prstGeom prst="rect">
          <a:avLst/>
        </a:prstGeom>
      </xdr:spPr>
    </xdr:pic>
    <xdr:clientData/>
  </xdr:twoCellAnchor>
  <xdr:twoCellAnchor editAs="oneCell">
    <xdr:from>
      <xdr:col>3</xdr:col>
      <xdr:colOff>371475</xdr:colOff>
      <xdr:row>33</xdr:row>
      <xdr:rowOff>85725</xdr:rowOff>
    </xdr:from>
    <xdr:to>
      <xdr:col>6</xdr:col>
      <xdr:colOff>1181916</xdr:colOff>
      <xdr:row>51</xdr:row>
      <xdr:rowOff>29070</xdr:rowOff>
    </xdr:to>
    <xdr:pic>
      <xdr:nvPicPr>
        <xdr:cNvPr id="3" name="Imagen 2">
          <a:extLst>
            <a:ext uri="{FF2B5EF4-FFF2-40B4-BE49-F238E27FC236}">
              <a16:creationId xmlns:a16="http://schemas.microsoft.com/office/drawing/2014/main" id="{6A6F73B9-0FCE-480C-A2A3-5EEBAC2333A6}"/>
            </a:ext>
          </a:extLst>
        </xdr:cNvPr>
        <xdr:cNvPicPr>
          <a:picLocks noChangeAspect="1"/>
        </xdr:cNvPicPr>
      </xdr:nvPicPr>
      <xdr:blipFill>
        <a:blip xmlns:r="http://schemas.openxmlformats.org/officeDocument/2006/relationships" r:embed="rId2"/>
        <a:stretch>
          <a:fillRect/>
        </a:stretch>
      </xdr:blipFill>
      <xdr:spPr>
        <a:xfrm>
          <a:off x="4600575" y="6686550"/>
          <a:ext cx="5849166" cy="3543795"/>
        </a:xfrm>
        <a:prstGeom prst="rect">
          <a:avLst/>
        </a:prstGeom>
      </xdr:spPr>
    </xdr:pic>
    <xdr:clientData/>
  </xdr:twoCellAnchor>
  <xdr:twoCellAnchor editAs="oneCell">
    <xdr:from>
      <xdr:col>12</xdr:col>
      <xdr:colOff>285750</xdr:colOff>
      <xdr:row>25</xdr:row>
      <xdr:rowOff>85725</xdr:rowOff>
    </xdr:from>
    <xdr:to>
      <xdr:col>14</xdr:col>
      <xdr:colOff>1801136</xdr:colOff>
      <xdr:row>62</xdr:row>
      <xdr:rowOff>1021</xdr:rowOff>
    </xdr:to>
    <xdr:pic>
      <xdr:nvPicPr>
        <xdr:cNvPr id="5" name="Imagen 4">
          <a:extLst>
            <a:ext uri="{FF2B5EF4-FFF2-40B4-BE49-F238E27FC236}">
              <a16:creationId xmlns:a16="http://schemas.microsoft.com/office/drawing/2014/main" id="{E8ABB9CB-20D1-789E-B305-99F8C30EDFB9}"/>
            </a:ext>
          </a:extLst>
        </xdr:cNvPr>
        <xdr:cNvPicPr>
          <a:picLocks noChangeAspect="1"/>
        </xdr:cNvPicPr>
      </xdr:nvPicPr>
      <xdr:blipFill>
        <a:blip xmlns:r="http://schemas.openxmlformats.org/officeDocument/2006/relationships" r:embed="rId3"/>
        <a:stretch>
          <a:fillRect/>
        </a:stretch>
      </xdr:blipFill>
      <xdr:spPr>
        <a:xfrm>
          <a:off x="24584025" y="5086350"/>
          <a:ext cx="6525536" cy="7316221"/>
        </a:xfrm>
        <a:prstGeom prst="rect">
          <a:avLst/>
        </a:prstGeom>
      </xdr:spPr>
    </xdr:pic>
    <xdr:clientData/>
  </xdr:twoCellAnchor>
  <xdr:twoCellAnchor editAs="oneCell">
    <xdr:from>
      <xdr:col>12</xdr:col>
      <xdr:colOff>85725</xdr:colOff>
      <xdr:row>22</xdr:row>
      <xdr:rowOff>47625</xdr:rowOff>
    </xdr:from>
    <xdr:to>
      <xdr:col>13</xdr:col>
      <xdr:colOff>1391182</xdr:colOff>
      <xdr:row>24</xdr:row>
      <xdr:rowOff>190576</xdr:rowOff>
    </xdr:to>
    <xdr:pic>
      <xdr:nvPicPr>
        <xdr:cNvPr id="6" name="Imagen 5">
          <a:extLst>
            <a:ext uri="{FF2B5EF4-FFF2-40B4-BE49-F238E27FC236}">
              <a16:creationId xmlns:a16="http://schemas.microsoft.com/office/drawing/2014/main" id="{0AE181EA-3293-4A34-8333-59624831AC4A}"/>
            </a:ext>
          </a:extLst>
        </xdr:cNvPr>
        <xdr:cNvPicPr>
          <a:picLocks noChangeAspect="1"/>
        </xdr:cNvPicPr>
      </xdr:nvPicPr>
      <xdr:blipFill>
        <a:blip xmlns:r="http://schemas.openxmlformats.org/officeDocument/2006/relationships" r:embed="rId4"/>
        <a:stretch>
          <a:fillRect/>
        </a:stretch>
      </xdr:blipFill>
      <xdr:spPr>
        <a:xfrm>
          <a:off x="24384000" y="4448175"/>
          <a:ext cx="3810532" cy="543001"/>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orm_Responses" displayName="Form_Responses" ref="A1:T15">
  <sortState xmlns:xlrd2="http://schemas.microsoft.com/office/spreadsheetml/2017/richdata2" ref="A2:T15">
    <sortCondition ref="B2:B15"/>
  </sortState>
  <tableColumns count="20">
    <tableColumn id="1" xr3:uid="{00000000-0010-0000-0000-000001000000}" name="Marca temporal"/>
    <tableColumn id="2" xr3:uid="{00000000-0010-0000-0000-000002000000}" name="Escribe tu nombre completo"/>
    <tableColumn id="3" xr3:uid="{00000000-0010-0000-0000-000003000000}" name="Escribe tu edad"/>
    <tableColumn id="4" xr3:uid="{00000000-0010-0000-0000-000004000000}" name="Escribe tu sexo"/>
    <tableColumn id="5" xr3:uid="{00000000-0010-0000-0000-000005000000}" name="Nivel de educación"/>
    <tableColumn id="6" xr3:uid="{00000000-0010-0000-0000-000006000000}" name="¿Qué tan demandante fue mentalmente la tarea? (Demanda Mental) "/>
    <tableColumn id="7" xr3:uid="{00000000-0010-0000-0000-000007000000}" name="¿Qué tan demandante fue físicamente la tarea? (Demanda Mental) "/>
    <tableColumn id="8" xr3:uid="{00000000-0010-0000-0000-000008000000}" name="¿Qué tan apresurado o acelerado fue el ritmo de la tarea?"/>
    <tableColumn id="9" xr3:uid="{00000000-0010-0000-0000-000009000000}" name="¿Qué tan exitoso(a) fuiste en lograr lo que se te pidió?"/>
    <tableColumn id="10" xr3:uid="{00000000-0010-0000-0000-00000A000000}" name="¿Qué tanto tuviste que esforzarte para lograr tu nivel de desempeño?"/>
    <tableColumn id="11" xr3:uid="{00000000-0010-0000-0000-00000B000000}" name="¿Qué tan inseguro(a), desanimado(a), irritado(a), estresado(a) o molesto(a) te sentiste?"/>
    <tableColumn id="12" xr3:uid="{00000000-0010-0000-0000-00000C000000}" name="Me senti alegre y de buen ánimo._x000a_0 = En ningún momento, 1 = En algunas veces, 2 = Menos de la mitad del tiempo,_x000a_ 3 = Más de la mitad del tiempo, 4 = La mayoria del tiempo, 5 = Todo el tiempo"/>
    <tableColumn id="13" xr3:uid="{00000000-0010-0000-0000-00000D000000}" name="Me senti tranquilo(a) y relajado(a)._x000a_0 = En ningún momento, 1 = En algunas veces, 2 = Menos de la mitad del tiempo,_x000a_ 3 = Más de la mitad del tiempo, 4 = La mayoria del tiempo, 5 = Todo el tiempo"/>
    <tableColumn id="14" xr3:uid="{00000000-0010-0000-0000-00000E000000}" name="Me he senti activo(a) y lleno(a) de energía._x000a_0 = En ningún momento, 1 = En algunas veces, 2 = Menos de la mitad del tiempo,_x000a_ 3 = Más de la mitad del tiempo, 4 = La mayoria del tiempo, 5 = Todo el tiempo"/>
    <tableColumn id="15" xr3:uid="{00000000-0010-0000-0000-00000F000000}" name="Me desperte sintiéndome fresco(a) y descansado(a)._x000a_0 = En ningún momento, 1 = En algunas veces, 2 = Menos de la mitad del tiempo,_x000a_ 3 = Más de la mitad del tiempo, 4 = La mayoria del tiempo, 5 = Todo el tiempo"/>
    <tableColumn id="16" xr3:uid="{00000000-0010-0000-0000-000010000000}" name="Mi vida diaria ha estado llena de cosas que me interesan._x000a_0 = En ningún momento, 1 = En algunas veces, 2 = Menos de la mitad del tiempo,_x000a_ 3 = Más de la mitad del tiempo, 4 = La mayoria del tiempo, 5 = Todo el tiempo"/>
    <tableColumn id="17" xr3:uid="{00000000-0010-0000-0000-000011000000}" name="¿Hubo algo que te pareció innecesario o que distrajera durante el uso del sistema?  "/>
    <tableColumn id="18" xr3:uid="{00000000-0010-0000-0000-000012000000}" name="¿Hubo algo en el sistema que te ayudó a sentirte más tranquilo(a) o confiado(a)?"/>
    <tableColumn id="19" xr3:uid="{00000000-0010-0000-0000-000013000000}" name="¿Qué cambiarías del sistema para hacerlo más fácil o cómodo de usar?"/>
    <tableColumn id="20" xr3:uid="{00000000-0010-0000-0000-000014000000}" name="Tienes algun/os comentario/s extra/s acerca de esta experiencia, por favor escribelos"/>
  </tableColumns>
  <tableStyleInfo name="Respuestas de formulario 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T46"/>
  <sheetViews>
    <sheetView tabSelected="1" topLeftCell="K1" workbookViewId="0">
      <pane ySplit="1" topLeftCell="A32" activePane="bottomLeft" state="frozen"/>
      <selection pane="bottomLeft" activeCell="Q18" sqref="Q18"/>
    </sheetView>
  </sheetViews>
  <sheetFormatPr baseColWidth="10" defaultColWidth="12.5703125" defaultRowHeight="15.75" customHeight="1" x14ac:dyDescent="0.2"/>
  <cols>
    <col min="1" max="1" width="18.85546875" customWidth="1"/>
    <col min="2" max="2" width="25.7109375" customWidth="1"/>
    <col min="3" max="4" width="18.85546875" customWidth="1"/>
    <col min="5" max="5" width="19.140625" customWidth="1"/>
    <col min="6" max="20" width="37.5703125" customWidth="1"/>
    <col min="21" max="26" width="18.85546875" customWidth="1"/>
  </cols>
  <sheetData>
    <row r="1" spans="1:20" ht="12.75" x14ac:dyDescent="0.2">
      <c r="A1" s="1" t="s">
        <v>0</v>
      </c>
      <c r="B1" s="2" t="s">
        <v>1</v>
      </c>
      <c r="C1" s="2" t="s">
        <v>2</v>
      </c>
      <c r="D1" s="2" t="s">
        <v>3</v>
      </c>
      <c r="E1" s="2" t="s">
        <v>4</v>
      </c>
      <c r="F1" s="2" t="s">
        <v>5</v>
      </c>
      <c r="G1" s="2" t="s">
        <v>6</v>
      </c>
      <c r="H1" s="3" t="s">
        <v>7</v>
      </c>
      <c r="I1" s="3" t="s">
        <v>8</v>
      </c>
      <c r="J1" s="3" t="s">
        <v>9</v>
      </c>
      <c r="K1" s="17" t="s">
        <v>10</v>
      </c>
      <c r="L1" s="2" t="s">
        <v>11</v>
      </c>
      <c r="M1" s="2" t="s">
        <v>12</v>
      </c>
      <c r="N1" s="2" t="s">
        <v>13</v>
      </c>
      <c r="O1" s="2" t="s">
        <v>14</v>
      </c>
      <c r="P1" s="2" t="s">
        <v>15</v>
      </c>
      <c r="Q1" s="2" t="s">
        <v>16</v>
      </c>
      <c r="R1" s="2" t="s">
        <v>17</v>
      </c>
      <c r="S1" s="2" t="s">
        <v>18</v>
      </c>
      <c r="T1" s="4" t="s">
        <v>19</v>
      </c>
    </row>
    <row r="2" spans="1:20" ht="12.75" x14ac:dyDescent="0.2">
      <c r="A2" s="5">
        <v>45897.662712337959</v>
      </c>
      <c r="B2" s="6" t="s">
        <v>27</v>
      </c>
      <c r="C2" s="6">
        <v>26</v>
      </c>
      <c r="D2" s="6" t="s">
        <v>21</v>
      </c>
      <c r="E2" s="6" t="s">
        <v>22</v>
      </c>
      <c r="F2" s="6">
        <v>10</v>
      </c>
      <c r="G2" s="6">
        <v>40</v>
      </c>
      <c r="H2" s="6">
        <v>70</v>
      </c>
      <c r="I2" s="6">
        <v>97</v>
      </c>
      <c r="J2" s="6">
        <v>20</v>
      </c>
      <c r="K2" s="6">
        <v>5</v>
      </c>
      <c r="L2" s="6">
        <v>1</v>
      </c>
      <c r="M2" s="6">
        <v>3</v>
      </c>
      <c r="N2" s="6">
        <v>4</v>
      </c>
      <c r="O2" s="6">
        <v>4</v>
      </c>
      <c r="P2" s="6">
        <v>3</v>
      </c>
      <c r="Q2" s="6" t="s">
        <v>28</v>
      </c>
      <c r="R2" s="6" t="s">
        <v>29</v>
      </c>
      <c r="S2" s="6" t="s">
        <v>30</v>
      </c>
      <c r="T2" s="7"/>
    </row>
    <row r="3" spans="1:20" ht="12.75" x14ac:dyDescent="0.2">
      <c r="A3" s="8">
        <v>45902.805616597223</v>
      </c>
      <c r="B3" s="9" t="s">
        <v>51</v>
      </c>
      <c r="C3" s="9">
        <v>20</v>
      </c>
      <c r="D3" s="9" t="s">
        <v>21</v>
      </c>
      <c r="E3" s="9" t="s">
        <v>22</v>
      </c>
      <c r="F3" s="9">
        <v>30</v>
      </c>
      <c r="G3" s="9">
        <v>5</v>
      </c>
      <c r="H3" s="9">
        <v>50</v>
      </c>
      <c r="I3" s="9">
        <v>90</v>
      </c>
      <c r="J3" s="9">
        <v>30</v>
      </c>
      <c r="K3" s="9">
        <v>0</v>
      </c>
      <c r="L3" s="9">
        <v>4</v>
      </c>
      <c r="M3" s="9">
        <v>4</v>
      </c>
      <c r="N3" s="9">
        <v>4</v>
      </c>
      <c r="O3" s="9">
        <v>4</v>
      </c>
      <c r="P3" s="9">
        <v>4</v>
      </c>
      <c r="Q3" s="9" t="s">
        <v>52</v>
      </c>
      <c r="R3" s="9"/>
      <c r="S3" s="9" t="s">
        <v>53</v>
      </c>
      <c r="T3" s="10"/>
    </row>
    <row r="4" spans="1:20" ht="12.75" x14ac:dyDescent="0.2">
      <c r="A4" s="5">
        <v>45906.432499456016</v>
      </c>
      <c r="B4" s="6" t="s">
        <v>54</v>
      </c>
      <c r="C4" s="6" t="s">
        <v>55</v>
      </c>
      <c r="D4" s="6" t="s">
        <v>21</v>
      </c>
      <c r="E4" s="6" t="s">
        <v>22</v>
      </c>
      <c r="F4" s="6">
        <v>20</v>
      </c>
      <c r="G4" s="6">
        <v>20</v>
      </c>
      <c r="H4" s="6">
        <v>10</v>
      </c>
      <c r="I4" s="6">
        <v>90</v>
      </c>
      <c r="J4" s="6">
        <v>30</v>
      </c>
      <c r="K4" s="6">
        <v>10</v>
      </c>
      <c r="L4" s="6">
        <v>4</v>
      </c>
      <c r="M4" s="6">
        <v>5</v>
      </c>
      <c r="N4" s="6">
        <v>4</v>
      </c>
      <c r="O4" s="6">
        <v>4</v>
      </c>
      <c r="P4" s="6">
        <v>4</v>
      </c>
      <c r="Q4" s="6" t="s">
        <v>56</v>
      </c>
      <c r="R4" s="6" t="s">
        <v>57</v>
      </c>
      <c r="S4" s="6" t="s">
        <v>58</v>
      </c>
      <c r="T4" s="7" t="s">
        <v>59</v>
      </c>
    </row>
    <row r="5" spans="1:20" ht="12.75" x14ac:dyDescent="0.2">
      <c r="A5" s="8">
        <v>45933.672249166666</v>
      </c>
      <c r="B5" s="9" t="s">
        <v>60</v>
      </c>
      <c r="C5" s="9">
        <v>18</v>
      </c>
      <c r="D5" s="9" t="s">
        <v>42</v>
      </c>
      <c r="E5" s="9" t="s">
        <v>22</v>
      </c>
      <c r="F5" s="9">
        <v>50</v>
      </c>
      <c r="G5" s="9">
        <v>20</v>
      </c>
      <c r="H5" s="9">
        <v>6</v>
      </c>
      <c r="I5" s="9">
        <v>100</v>
      </c>
      <c r="J5" s="9">
        <v>22</v>
      </c>
      <c r="K5" s="9">
        <v>33</v>
      </c>
      <c r="L5" s="9">
        <v>5</v>
      </c>
      <c r="M5" s="9">
        <v>5</v>
      </c>
      <c r="N5" s="9">
        <v>4</v>
      </c>
      <c r="O5" s="9">
        <v>4</v>
      </c>
      <c r="P5" s="9">
        <v>5</v>
      </c>
      <c r="Q5" s="9" t="s">
        <v>61</v>
      </c>
      <c r="R5" s="9" t="s">
        <v>62</v>
      </c>
      <c r="S5" s="9" t="s">
        <v>63</v>
      </c>
      <c r="T5" s="10" t="s">
        <v>64</v>
      </c>
    </row>
    <row r="6" spans="1:20" ht="12.75" x14ac:dyDescent="0.2">
      <c r="A6" s="5">
        <v>45897.659264085647</v>
      </c>
      <c r="B6" s="6" t="s">
        <v>20</v>
      </c>
      <c r="C6" s="6">
        <v>21</v>
      </c>
      <c r="D6" s="6" t="s">
        <v>21</v>
      </c>
      <c r="E6" s="6" t="s">
        <v>22</v>
      </c>
      <c r="F6" s="6">
        <v>65</v>
      </c>
      <c r="G6" s="6">
        <v>50</v>
      </c>
      <c r="H6" s="6">
        <v>21</v>
      </c>
      <c r="I6" s="6">
        <v>98</v>
      </c>
      <c r="J6" s="6">
        <v>84</v>
      </c>
      <c r="K6" s="6">
        <v>70</v>
      </c>
      <c r="L6" s="6">
        <v>4</v>
      </c>
      <c r="M6" s="6">
        <v>2</v>
      </c>
      <c r="N6" s="6">
        <v>3</v>
      </c>
      <c r="O6" s="6">
        <v>4</v>
      </c>
      <c r="P6" s="6">
        <v>4</v>
      </c>
      <c r="Q6" s="6" t="s">
        <v>23</v>
      </c>
      <c r="R6" s="6" t="s">
        <v>24</v>
      </c>
      <c r="S6" s="6" t="s">
        <v>25</v>
      </c>
      <c r="T6" s="7" t="s">
        <v>26</v>
      </c>
    </row>
    <row r="7" spans="1:20" ht="12.75" x14ac:dyDescent="0.2">
      <c r="A7" s="5">
        <v>45933.687140023147</v>
      </c>
      <c r="B7" s="6" t="s">
        <v>65</v>
      </c>
      <c r="C7" s="6">
        <v>20</v>
      </c>
      <c r="D7" s="6" t="s">
        <v>21</v>
      </c>
      <c r="E7" s="6" t="s">
        <v>22</v>
      </c>
      <c r="F7" s="6">
        <v>6</v>
      </c>
      <c r="G7" s="6">
        <v>5</v>
      </c>
      <c r="H7" s="6">
        <v>7</v>
      </c>
      <c r="I7" s="6">
        <v>89</v>
      </c>
      <c r="J7" s="6">
        <v>7</v>
      </c>
      <c r="K7" s="6">
        <v>8</v>
      </c>
      <c r="L7" s="6">
        <v>5</v>
      </c>
      <c r="M7" s="6">
        <v>4</v>
      </c>
      <c r="N7" s="6">
        <v>5</v>
      </c>
      <c r="O7" s="6">
        <v>4</v>
      </c>
      <c r="P7" s="6">
        <v>4</v>
      </c>
      <c r="Q7" s="6" t="s">
        <v>68</v>
      </c>
      <c r="R7" s="6" t="s">
        <v>69</v>
      </c>
      <c r="S7" s="6" t="s">
        <v>70</v>
      </c>
      <c r="T7" s="7"/>
    </row>
    <row r="8" spans="1:20" ht="12.75" x14ac:dyDescent="0.2">
      <c r="A8" s="8">
        <v>45901.50068837963</v>
      </c>
      <c r="B8" s="9" t="s">
        <v>47</v>
      </c>
      <c r="C8" s="9">
        <v>21</v>
      </c>
      <c r="D8" s="9" t="s">
        <v>42</v>
      </c>
      <c r="E8" s="9" t="s">
        <v>22</v>
      </c>
      <c r="F8" s="9">
        <v>35</v>
      </c>
      <c r="G8" s="9">
        <v>15</v>
      </c>
      <c r="H8" s="9">
        <v>20</v>
      </c>
      <c r="I8" s="9">
        <v>95</v>
      </c>
      <c r="J8" s="9">
        <v>25</v>
      </c>
      <c r="K8" s="9">
        <v>10</v>
      </c>
      <c r="L8" s="9">
        <v>4</v>
      </c>
      <c r="M8" s="9">
        <v>4</v>
      </c>
      <c r="N8" s="9">
        <v>3</v>
      </c>
      <c r="O8" s="9">
        <v>3</v>
      </c>
      <c r="P8" s="9">
        <v>4</v>
      </c>
      <c r="Q8" s="9" t="s">
        <v>48</v>
      </c>
      <c r="R8" s="9" t="s">
        <v>49</v>
      </c>
      <c r="S8" s="9" t="s">
        <v>50</v>
      </c>
      <c r="T8" s="10" t="s">
        <v>37</v>
      </c>
    </row>
    <row r="9" spans="1:20" ht="12.75" x14ac:dyDescent="0.2">
      <c r="A9" s="5">
        <v>45897.703430046298</v>
      </c>
      <c r="B9" s="6" t="s">
        <v>31</v>
      </c>
      <c r="C9" s="6">
        <v>22</v>
      </c>
      <c r="D9" s="6" t="s">
        <v>21</v>
      </c>
      <c r="E9" s="6" t="s">
        <v>22</v>
      </c>
      <c r="F9" s="6">
        <v>50</v>
      </c>
      <c r="G9" s="6">
        <v>50</v>
      </c>
      <c r="H9" s="6">
        <v>0</v>
      </c>
      <c r="I9" s="6">
        <v>100</v>
      </c>
      <c r="J9" s="6">
        <v>40</v>
      </c>
      <c r="K9" s="6">
        <v>90</v>
      </c>
      <c r="L9" s="6">
        <v>2</v>
      </c>
      <c r="M9" s="6">
        <v>1</v>
      </c>
      <c r="N9" s="6">
        <v>1</v>
      </c>
      <c r="O9" s="6">
        <v>0</v>
      </c>
      <c r="P9" s="6">
        <v>3</v>
      </c>
      <c r="Q9" s="6" t="s">
        <v>32</v>
      </c>
      <c r="R9" s="6" t="s">
        <v>33</v>
      </c>
      <c r="S9" s="6" t="s">
        <v>34</v>
      </c>
      <c r="T9" s="7" t="s">
        <v>35</v>
      </c>
    </row>
    <row r="10" spans="1:20" ht="12.75" x14ac:dyDescent="0.2">
      <c r="A10" s="8">
        <v>45898.370894768523</v>
      </c>
      <c r="B10" s="9" t="s">
        <v>36</v>
      </c>
      <c r="C10" s="9">
        <v>20</v>
      </c>
      <c r="D10" s="9" t="s">
        <v>21</v>
      </c>
      <c r="E10" s="9" t="s">
        <v>22</v>
      </c>
      <c r="F10" s="9">
        <v>25</v>
      </c>
      <c r="G10" s="9">
        <v>10</v>
      </c>
      <c r="H10" s="9">
        <v>5</v>
      </c>
      <c r="I10" s="9">
        <v>95</v>
      </c>
      <c r="J10" s="9">
        <v>15</v>
      </c>
      <c r="K10" s="9">
        <v>15</v>
      </c>
      <c r="L10" s="9">
        <v>3</v>
      </c>
      <c r="M10" s="9">
        <v>3</v>
      </c>
      <c r="N10" s="9">
        <v>3</v>
      </c>
      <c r="O10" s="9">
        <v>4</v>
      </c>
      <c r="P10" s="9">
        <v>4</v>
      </c>
      <c r="Q10" s="9" t="s">
        <v>37</v>
      </c>
      <c r="R10" s="9" t="s">
        <v>38</v>
      </c>
      <c r="S10" s="9" t="s">
        <v>39</v>
      </c>
      <c r="T10" s="10" t="s">
        <v>40</v>
      </c>
    </row>
    <row r="11" spans="1:20" ht="12.75" x14ac:dyDescent="0.2">
      <c r="A11" s="5">
        <v>45898.604581053238</v>
      </c>
      <c r="B11" s="6" t="s">
        <v>41</v>
      </c>
      <c r="C11" s="6">
        <v>20</v>
      </c>
      <c r="D11" s="6" t="s">
        <v>42</v>
      </c>
      <c r="E11" s="6" t="s">
        <v>22</v>
      </c>
      <c r="F11" s="6">
        <v>20</v>
      </c>
      <c r="G11" s="6">
        <v>20</v>
      </c>
      <c r="H11" s="6">
        <v>30</v>
      </c>
      <c r="I11" s="6">
        <v>100</v>
      </c>
      <c r="J11" s="6">
        <v>20</v>
      </c>
      <c r="K11" s="6">
        <v>15</v>
      </c>
      <c r="L11" s="6">
        <v>5</v>
      </c>
      <c r="M11" s="6">
        <v>3</v>
      </c>
      <c r="N11" s="6">
        <v>4</v>
      </c>
      <c r="O11" s="6">
        <v>5</v>
      </c>
      <c r="P11" s="6">
        <v>5</v>
      </c>
      <c r="Q11" s="6" t="s">
        <v>43</v>
      </c>
      <c r="R11" s="6" t="s">
        <v>44</v>
      </c>
      <c r="S11" s="6" t="s">
        <v>45</v>
      </c>
      <c r="T11" s="7" t="s">
        <v>46</v>
      </c>
    </row>
    <row r="12" spans="1:20" ht="12.75" x14ac:dyDescent="0.2">
      <c r="A12" s="8">
        <v>45943.557049328709</v>
      </c>
      <c r="B12" s="9" t="s">
        <v>81</v>
      </c>
      <c r="C12" s="9">
        <v>21</v>
      </c>
      <c r="D12" s="9" t="s">
        <v>21</v>
      </c>
      <c r="E12" s="9" t="s">
        <v>22</v>
      </c>
      <c r="F12" s="9">
        <v>80</v>
      </c>
      <c r="G12" s="9">
        <v>90</v>
      </c>
      <c r="H12" s="9">
        <v>50</v>
      </c>
      <c r="I12" s="9">
        <v>85</v>
      </c>
      <c r="J12" s="9">
        <v>70</v>
      </c>
      <c r="K12" s="9">
        <v>60</v>
      </c>
      <c r="L12" s="9">
        <v>2</v>
      </c>
      <c r="M12" s="9">
        <v>2</v>
      </c>
      <c r="N12" s="9">
        <v>3</v>
      </c>
      <c r="O12" s="9">
        <v>4</v>
      </c>
      <c r="P12" s="9">
        <v>4</v>
      </c>
      <c r="Q12" s="9" t="s">
        <v>82</v>
      </c>
      <c r="R12" s="9" t="s">
        <v>83</v>
      </c>
      <c r="S12" s="9" t="s">
        <v>84</v>
      </c>
      <c r="T12" s="10" t="s">
        <v>85</v>
      </c>
    </row>
    <row r="13" spans="1:20" ht="12.75" x14ac:dyDescent="0.2">
      <c r="A13" s="14">
        <v>45943.530875682874</v>
      </c>
      <c r="B13" s="15" t="s">
        <v>71</v>
      </c>
      <c r="C13" s="15">
        <v>20</v>
      </c>
      <c r="D13" s="15" t="s">
        <v>21</v>
      </c>
      <c r="E13" s="15" t="s">
        <v>22</v>
      </c>
      <c r="F13" s="15">
        <v>16</v>
      </c>
      <c r="G13" s="15">
        <v>12</v>
      </c>
      <c r="H13" s="15">
        <v>31</v>
      </c>
      <c r="I13" s="15">
        <v>88</v>
      </c>
      <c r="J13" s="15">
        <v>20</v>
      </c>
      <c r="K13" s="15">
        <v>10</v>
      </c>
      <c r="L13" s="15">
        <v>2</v>
      </c>
      <c r="M13" s="15">
        <v>3</v>
      </c>
      <c r="N13" s="15">
        <v>3</v>
      </c>
      <c r="O13" s="15">
        <v>2</v>
      </c>
      <c r="P13" s="15">
        <v>3</v>
      </c>
      <c r="Q13" s="15" t="s">
        <v>72</v>
      </c>
      <c r="R13" s="15" t="s">
        <v>73</v>
      </c>
      <c r="S13" s="15" t="s">
        <v>74</v>
      </c>
      <c r="T13" s="16" t="s">
        <v>75</v>
      </c>
    </row>
    <row r="14" spans="1:20" ht="12.75" x14ac:dyDescent="0.2">
      <c r="A14" s="11">
        <v>45943.54839596065</v>
      </c>
      <c r="B14" s="12" t="s">
        <v>76</v>
      </c>
      <c r="C14" s="12">
        <v>18</v>
      </c>
      <c r="D14" s="12" t="s">
        <v>21</v>
      </c>
      <c r="E14" s="12" t="s">
        <v>22</v>
      </c>
      <c r="F14" s="12">
        <v>10</v>
      </c>
      <c r="G14" s="12">
        <v>0</v>
      </c>
      <c r="H14" s="12">
        <v>50</v>
      </c>
      <c r="I14" s="12">
        <v>90</v>
      </c>
      <c r="J14" s="12">
        <v>5</v>
      </c>
      <c r="K14" s="12">
        <v>5</v>
      </c>
      <c r="L14" s="12">
        <v>4</v>
      </c>
      <c r="M14" s="12">
        <v>4</v>
      </c>
      <c r="N14" s="12">
        <v>5</v>
      </c>
      <c r="O14" s="12">
        <v>5</v>
      </c>
      <c r="P14" s="12">
        <v>5</v>
      </c>
      <c r="Q14" s="12" t="s">
        <v>77</v>
      </c>
      <c r="R14" s="12" t="s">
        <v>78</v>
      </c>
      <c r="S14" s="12" t="s">
        <v>79</v>
      </c>
      <c r="T14" s="13" t="s">
        <v>80</v>
      </c>
    </row>
    <row r="15" spans="1:20" ht="12.75" x14ac:dyDescent="0.2"/>
    <row r="17" spans="1:20" ht="15.75" customHeight="1" x14ac:dyDescent="0.2">
      <c r="C17">
        <f>AVERAGE(C2:C14)</f>
        <v>20.583333333333332</v>
      </c>
      <c r="F17">
        <f>AVERAGE(F2:F14)</f>
        <v>32.07692307692308</v>
      </c>
      <c r="G17">
        <f t="shared" ref="G17:P17" si="0">AVERAGE(G2:G14)</f>
        <v>25.923076923076923</v>
      </c>
      <c r="H17">
        <f t="shared" si="0"/>
        <v>26.923076923076923</v>
      </c>
      <c r="I17">
        <f t="shared" si="0"/>
        <v>93.615384615384613</v>
      </c>
      <c r="J17">
        <f t="shared" si="0"/>
        <v>29.846153846153847</v>
      </c>
      <c r="K17">
        <f t="shared" si="0"/>
        <v>25.46153846153846</v>
      </c>
      <c r="L17">
        <f t="shared" si="0"/>
        <v>3.4615384615384617</v>
      </c>
      <c r="M17">
        <f t="shared" si="0"/>
        <v>3.3076923076923075</v>
      </c>
      <c r="N17">
        <f t="shared" si="0"/>
        <v>3.5384615384615383</v>
      </c>
      <c r="O17">
        <f t="shared" si="0"/>
        <v>3.6153846153846154</v>
      </c>
      <c r="P17">
        <f t="shared" si="0"/>
        <v>4</v>
      </c>
    </row>
    <row r="18" spans="1:20" ht="15.75" customHeight="1" x14ac:dyDescent="0.25">
      <c r="F18" s="20">
        <f>_xlfn.STDEV.S(F2:F14)</f>
        <v>22.89636629999594</v>
      </c>
      <c r="G18" s="20">
        <f t="shared" ref="G18:P18" si="1">_xlfn.STDEV.S(G2:G14)</f>
        <v>25.303035188364056</v>
      </c>
      <c r="H18" s="20">
        <f t="shared" si="1"/>
        <v>22.152733234153967</v>
      </c>
      <c r="I18" s="20">
        <f t="shared" si="1"/>
        <v>5.1887452166277086</v>
      </c>
      <c r="J18" s="20">
        <f t="shared" si="1"/>
        <v>23.064569342919867</v>
      </c>
      <c r="K18" s="20">
        <f t="shared" si="1"/>
        <v>29.047706118887096</v>
      </c>
      <c r="L18" s="20">
        <f t="shared" si="1"/>
        <v>1.3301243435223524</v>
      </c>
      <c r="M18" s="20">
        <f t="shared" si="1"/>
        <v>1.1821319289469758</v>
      </c>
      <c r="N18" s="20">
        <f t="shared" si="1"/>
        <v>1.0500305245868342</v>
      </c>
      <c r="O18" s="20">
        <f t="shared" si="1"/>
        <v>1.3252962900462129</v>
      </c>
      <c r="P18" s="20">
        <f t="shared" si="1"/>
        <v>0.70710678118654757</v>
      </c>
    </row>
    <row r="20" spans="1:20" ht="15.75" customHeight="1" x14ac:dyDescent="0.2">
      <c r="A20" s="8">
        <v>45933.685324872684</v>
      </c>
      <c r="B20" s="9" t="s">
        <v>65</v>
      </c>
      <c r="C20" s="9">
        <v>20</v>
      </c>
      <c r="D20" s="9" t="s">
        <v>21</v>
      </c>
      <c r="E20" s="9" t="s">
        <v>22</v>
      </c>
      <c r="F20" s="9">
        <v>21</v>
      </c>
      <c r="G20" s="9">
        <v>4</v>
      </c>
      <c r="H20" s="9">
        <v>10</v>
      </c>
      <c r="I20" s="9">
        <v>90</v>
      </c>
      <c r="J20" s="9">
        <v>15</v>
      </c>
      <c r="K20" s="9">
        <v>8</v>
      </c>
      <c r="L20" s="9">
        <v>5</v>
      </c>
      <c r="M20" s="9">
        <v>3</v>
      </c>
      <c r="N20" s="9">
        <v>5</v>
      </c>
      <c r="O20" s="9">
        <v>3</v>
      </c>
      <c r="P20" s="9">
        <v>4</v>
      </c>
      <c r="Q20" s="9" t="s">
        <v>66</v>
      </c>
      <c r="R20" s="9" t="s">
        <v>37</v>
      </c>
      <c r="S20" s="9" t="s">
        <v>67</v>
      </c>
      <c r="T20" s="10"/>
    </row>
    <row r="24" spans="1:20" ht="15.75" customHeight="1" x14ac:dyDescent="0.2">
      <c r="P24" s="18" t="s">
        <v>87</v>
      </c>
    </row>
    <row r="25" spans="1:20" ht="15.75" customHeight="1" x14ac:dyDescent="0.2">
      <c r="K25" s="18" t="s">
        <v>86</v>
      </c>
      <c r="P25">
        <f>SUM(L2:P2) * 4</f>
        <v>60</v>
      </c>
      <c r="Q25" s="18" t="str">
        <f>IF(ISBLANK(P25),"",IF(P25&lt;=28,"Muy bajo: bienestar gravemente reducido; posible depresión",IF(P25&lt;=50,"Bajo: bienestar emocional deteriorado",IF(P25&lt;=100,"Adecuado/bueno: buen bienestar psicológico","Fuera de rango"))))</f>
        <v>Adecuado/bueno: buen bienestar psicológico</v>
      </c>
    </row>
    <row r="26" spans="1:20" ht="15.75" customHeight="1" x14ac:dyDescent="0.2">
      <c r="K26">
        <f>SUM(F2:K2)/6</f>
        <v>40.333333333333336</v>
      </c>
      <c r="L26" s="18" t="str">
        <f>IF(K26&lt;=20,"Muy baja",IF(K26&lt;=40,"Moderada",IF(K26&lt;=60,"Media",IF(K26&lt;=80,"Alta","Muy alta"))))</f>
        <v>Media</v>
      </c>
      <c r="P26">
        <f t="shared" ref="P26:P36" si="2">SUM(L3:P3) * 4</f>
        <v>80</v>
      </c>
      <c r="Q26" s="18" t="str">
        <f t="shared" ref="Q26:Q36" si="3">IF(ISBLANK(P26),"",IF(P26&lt;=28,"Muy bajo: bienestar gravemente reducido; posible depresión",IF(P26&lt;=50,"Bajo: bienestar emocional deteriorado",IF(P26&lt;=100,"Adecuado/bueno: buen bienestar psicológico","Fuera de rango"))))</f>
        <v>Adecuado/bueno: buen bienestar psicológico</v>
      </c>
    </row>
    <row r="27" spans="1:20" ht="15.75" customHeight="1" x14ac:dyDescent="0.2">
      <c r="K27">
        <f t="shared" ref="K27:K38" si="4">SUM(F3:K3)/6</f>
        <v>34.166666666666664</v>
      </c>
      <c r="L27" s="18" t="str">
        <f t="shared" ref="L27:L38" si="5">IF(K27&lt;=20,"Muy baja",IF(K27&lt;=40,"Moderada",IF(K27&lt;=60,"Media",IF(K27&lt;=80,"Alta","Muy alta"))))</f>
        <v>Moderada</v>
      </c>
      <c r="P27">
        <f t="shared" si="2"/>
        <v>84</v>
      </c>
      <c r="Q27" s="18" t="str">
        <f t="shared" si="3"/>
        <v>Adecuado/bueno: buen bienestar psicológico</v>
      </c>
    </row>
    <row r="28" spans="1:20" ht="15.75" customHeight="1" x14ac:dyDescent="0.2">
      <c r="K28">
        <f t="shared" si="4"/>
        <v>30</v>
      </c>
      <c r="L28" s="18" t="str">
        <f t="shared" si="5"/>
        <v>Moderada</v>
      </c>
      <c r="P28">
        <f t="shared" si="2"/>
        <v>92</v>
      </c>
      <c r="Q28" s="18" t="str">
        <f t="shared" si="3"/>
        <v>Adecuado/bueno: buen bienestar psicológico</v>
      </c>
    </row>
    <row r="29" spans="1:20" ht="15.75" customHeight="1" x14ac:dyDescent="0.2">
      <c r="K29">
        <f t="shared" si="4"/>
        <v>38.5</v>
      </c>
      <c r="L29" s="18" t="str">
        <f t="shared" si="5"/>
        <v>Moderada</v>
      </c>
      <c r="P29">
        <f t="shared" si="2"/>
        <v>68</v>
      </c>
      <c r="Q29" s="18" t="str">
        <f t="shared" si="3"/>
        <v>Adecuado/bueno: buen bienestar psicológico</v>
      </c>
    </row>
    <row r="30" spans="1:20" ht="15.75" customHeight="1" x14ac:dyDescent="0.2">
      <c r="K30">
        <f t="shared" si="4"/>
        <v>64.666666666666671</v>
      </c>
      <c r="L30" s="18" t="str">
        <f t="shared" si="5"/>
        <v>Alta</v>
      </c>
      <c r="P30">
        <f t="shared" si="2"/>
        <v>88</v>
      </c>
      <c r="Q30" s="18" t="str">
        <f t="shared" si="3"/>
        <v>Adecuado/bueno: buen bienestar psicológico</v>
      </c>
    </row>
    <row r="31" spans="1:20" ht="15.75" customHeight="1" x14ac:dyDescent="0.2">
      <c r="K31">
        <f t="shared" si="4"/>
        <v>20.333333333333332</v>
      </c>
      <c r="L31" s="18" t="str">
        <f t="shared" si="5"/>
        <v>Moderada</v>
      </c>
      <c r="P31">
        <f t="shared" si="2"/>
        <v>72</v>
      </c>
      <c r="Q31" s="18" t="str">
        <f t="shared" si="3"/>
        <v>Adecuado/bueno: buen bienestar psicológico</v>
      </c>
    </row>
    <row r="32" spans="1:20" ht="15.75" customHeight="1" x14ac:dyDescent="0.2">
      <c r="K32">
        <f t="shared" si="4"/>
        <v>33.333333333333336</v>
      </c>
      <c r="L32" s="18" t="str">
        <f t="shared" si="5"/>
        <v>Moderada</v>
      </c>
      <c r="P32">
        <f t="shared" si="2"/>
        <v>28</v>
      </c>
      <c r="Q32" s="18" t="str">
        <f t="shared" si="3"/>
        <v>Muy bajo: bienestar gravemente reducido; posible depresión</v>
      </c>
    </row>
    <row r="33" spans="11:17" ht="15.75" customHeight="1" x14ac:dyDescent="0.2">
      <c r="K33">
        <f t="shared" si="4"/>
        <v>55</v>
      </c>
      <c r="L33" s="18" t="str">
        <f t="shared" si="5"/>
        <v>Media</v>
      </c>
      <c r="P33">
        <f t="shared" si="2"/>
        <v>68</v>
      </c>
      <c r="Q33" s="18" t="str">
        <f t="shared" si="3"/>
        <v>Adecuado/bueno: buen bienestar psicológico</v>
      </c>
    </row>
    <row r="34" spans="11:17" ht="15.75" customHeight="1" x14ac:dyDescent="0.2">
      <c r="K34">
        <f t="shared" si="4"/>
        <v>27.5</v>
      </c>
      <c r="L34" s="18" t="str">
        <f t="shared" si="5"/>
        <v>Moderada</v>
      </c>
      <c r="P34">
        <f t="shared" si="2"/>
        <v>88</v>
      </c>
      <c r="Q34" s="18" t="str">
        <f t="shared" si="3"/>
        <v>Adecuado/bueno: buen bienestar psicológico</v>
      </c>
    </row>
    <row r="35" spans="11:17" ht="15.75" customHeight="1" x14ac:dyDescent="0.2">
      <c r="K35">
        <f t="shared" si="4"/>
        <v>34.166666666666664</v>
      </c>
      <c r="L35" s="18" t="str">
        <f t="shared" si="5"/>
        <v>Moderada</v>
      </c>
      <c r="P35">
        <f t="shared" si="2"/>
        <v>60</v>
      </c>
      <c r="Q35" s="18" t="str">
        <f t="shared" si="3"/>
        <v>Adecuado/bueno: buen bienestar psicológico</v>
      </c>
    </row>
    <row r="36" spans="11:17" ht="15.75" customHeight="1" x14ac:dyDescent="0.2">
      <c r="K36">
        <f t="shared" si="4"/>
        <v>72.5</v>
      </c>
      <c r="L36" s="18" t="str">
        <f t="shared" si="5"/>
        <v>Alta</v>
      </c>
      <c r="P36">
        <f t="shared" si="2"/>
        <v>52</v>
      </c>
      <c r="Q36" s="18" t="str">
        <f t="shared" si="3"/>
        <v>Adecuado/bueno: buen bienestar psicológico</v>
      </c>
    </row>
    <row r="37" spans="11:17" ht="15.75" customHeight="1" x14ac:dyDescent="0.2">
      <c r="K37">
        <f t="shared" si="4"/>
        <v>29.5</v>
      </c>
      <c r="L37" s="18" t="str">
        <f t="shared" si="5"/>
        <v>Moderada</v>
      </c>
    </row>
    <row r="38" spans="11:17" ht="15.75" customHeight="1" x14ac:dyDescent="0.2">
      <c r="K38">
        <f t="shared" si="4"/>
        <v>26.666666666666668</v>
      </c>
      <c r="L38" s="18" t="str">
        <f t="shared" si="5"/>
        <v>Moderada</v>
      </c>
      <c r="P38" s="18" t="s">
        <v>88</v>
      </c>
    </row>
    <row r="39" spans="11:17" ht="15.75" customHeight="1" x14ac:dyDescent="0.2">
      <c r="P39" s="19">
        <f>SUM(P25:P36)</f>
        <v>840</v>
      </c>
    </row>
    <row r="41" spans="11:17" ht="15.75" customHeight="1" x14ac:dyDescent="0.2">
      <c r="K41" s="18" t="s">
        <v>88</v>
      </c>
    </row>
    <row r="42" spans="11:17" ht="15.75" customHeight="1" x14ac:dyDescent="0.2">
      <c r="K42" s="19">
        <f>SUM(K26:K38)</f>
        <v>506.66666666666674</v>
      </c>
    </row>
    <row r="43" spans="11:17" ht="15.75" customHeight="1" x14ac:dyDescent="0.2">
      <c r="P43" s="18" t="s">
        <v>89</v>
      </c>
    </row>
    <row r="44" spans="11:17" ht="15.75" customHeight="1" x14ac:dyDescent="0.2">
      <c r="P44">
        <f>AVERAGE(P25:P36)</f>
        <v>70</v>
      </c>
      <c r="Q44" s="18" t="s">
        <v>90</v>
      </c>
    </row>
    <row r="45" spans="11:17" ht="15.75" customHeight="1" x14ac:dyDescent="0.2">
      <c r="K45" s="18" t="s">
        <v>89</v>
      </c>
    </row>
    <row r="46" spans="11:17" ht="15.75" customHeight="1" x14ac:dyDescent="0.2">
      <c r="K46">
        <f>AVERAGE(K26:K38)</f>
        <v>38.974358974358978</v>
      </c>
      <c r="L46" s="18" t="s">
        <v>91</v>
      </c>
    </row>
  </sheetData>
  <pageMargins left="0.7" right="0.7" top="0.75" bottom="0.75" header="0.3" footer="0.3"/>
  <drawing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Respuestas de formulario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Rik Cruz</cp:lastModifiedBy>
  <dcterms:modified xsi:type="dcterms:W3CDTF">2025-11-06T00:29:13Z</dcterms:modified>
</cp:coreProperties>
</file>