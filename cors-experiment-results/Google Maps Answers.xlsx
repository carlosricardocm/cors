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\TRABAJO\IIMAS\PAPERS AND CONFERENCES\Interfaz minima diseño\EVALUACIONES\"/>
    </mc:Choice>
  </mc:AlternateContent>
  <xr:revisionPtr revIDLastSave="0" documentId="13_ncr:1_{EF9442E8-BF46-43AE-8CF3-9A02749970B2}" xr6:coauthVersionLast="47" xr6:coauthVersionMax="47" xr10:uidLastSave="{00000000-0000-0000-0000-000000000000}"/>
  <bookViews>
    <workbookView xWindow="495" yWindow="2355" windowWidth="28800" windowHeight="15345" xr2:uid="{00000000-000D-0000-FFFF-FFFF00000000}"/>
  </bookViews>
  <sheets>
    <sheet name="Respuestas de formulario 1" sheetId="1" r:id="rId1"/>
  </sheets>
  <calcPr calcId="191029"/>
  <fileRecoveryPr repairLoad="1"/>
</workbook>
</file>

<file path=xl/calcChain.xml><?xml version="1.0" encoding="utf-8"?>
<calcChain xmlns="http://schemas.openxmlformats.org/spreadsheetml/2006/main">
  <c r="L17" i="1" l="1"/>
  <c r="M17" i="1"/>
  <c r="N17" i="1"/>
  <c r="O17" i="1"/>
  <c r="P17" i="1"/>
  <c r="L16" i="1"/>
  <c r="M16" i="1"/>
  <c r="N16" i="1"/>
  <c r="O16" i="1"/>
  <c r="P16" i="1"/>
  <c r="F16" i="1"/>
  <c r="K17" i="1"/>
  <c r="K16" i="1"/>
  <c r="J17" i="1"/>
  <c r="J16" i="1"/>
  <c r="G17" i="1"/>
  <c r="H17" i="1"/>
  <c r="I17" i="1"/>
  <c r="G16" i="1"/>
  <c r="H16" i="1"/>
  <c r="I16" i="1"/>
  <c r="F17" i="1"/>
  <c r="B17" i="1"/>
  <c r="P36" i="1"/>
  <c r="K36" i="1"/>
  <c r="P34" i="1"/>
  <c r="L19" i="1"/>
  <c r="L20" i="1"/>
  <c r="L21" i="1"/>
  <c r="L22" i="1"/>
  <c r="L23" i="1"/>
  <c r="L24" i="1"/>
  <c r="L25" i="1"/>
  <c r="L26" i="1"/>
  <c r="L27" i="1"/>
  <c r="L28" i="1"/>
  <c r="L29" i="1"/>
  <c r="L30" i="1"/>
  <c r="L18" i="1"/>
  <c r="Q20" i="1"/>
  <c r="Q21" i="1"/>
  <c r="Q22" i="1"/>
  <c r="Q23" i="1"/>
  <c r="Q24" i="1"/>
  <c r="Q25" i="1"/>
  <c r="Q26" i="1"/>
  <c r="Q27" i="1"/>
  <c r="Q28" i="1"/>
  <c r="Q29" i="1"/>
  <c r="Q30" i="1"/>
  <c r="Q31" i="1"/>
  <c r="Q19" i="1"/>
  <c r="P20" i="1"/>
  <c r="P21" i="1"/>
  <c r="P22" i="1"/>
  <c r="P23" i="1"/>
  <c r="P24" i="1"/>
  <c r="P25" i="1"/>
  <c r="P26" i="1"/>
  <c r="P27" i="1"/>
  <c r="P28" i="1"/>
  <c r="P29" i="1"/>
  <c r="P30" i="1"/>
  <c r="P31" i="1"/>
  <c r="P19" i="1"/>
  <c r="K18" i="1"/>
  <c r="K33" i="1"/>
  <c r="K19" i="1"/>
  <c r="K20" i="1"/>
  <c r="K21" i="1"/>
  <c r="K22" i="1"/>
  <c r="K23" i="1"/>
  <c r="K24" i="1"/>
  <c r="K25" i="1"/>
  <c r="K26" i="1"/>
  <c r="K27" i="1"/>
  <c r="K28" i="1"/>
  <c r="K29" i="1"/>
  <c r="K30" i="1"/>
</calcChain>
</file>

<file path=xl/sharedStrings.xml><?xml version="1.0" encoding="utf-8"?>
<sst xmlns="http://schemas.openxmlformats.org/spreadsheetml/2006/main" count="116" uniqueCount="87">
  <si>
    <t>Marca temporal</t>
  </si>
  <si>
    <t>Escribe tu nombre completo</t>
  </si>
  <si>
    <t>Escribe tu edad</t>
  </si>
  <si>
    <t>Sexo</t>
  </si>
  <si>
    <t>Nivel de educación</t>
  </si>
  <si>
    <t xml:space="preserve">¿Qué tan demandante fue mentalmente la tarea? (Demanda Mental) </t>
  </si>
  <si>
    <t xml:space="preserve">¿Qué tan demandante fue físicamente la tarea? (Demanda Mental) </t>
  </si>
  <si>
    <t>¿Qué tan apresurado o acelerado fue el ritmo de la tarea?</t>
  </si>
  <si>
    <t>¿Qué tan exitoso(a) fuiste en lograr lo que se te pidió?</t>
  </si>
  <si>
    <t>¿Qué tanto tuviste que esforzarte para lograr tu nivel de desempeño?</t>
  </si>
  <si>
    <t>¿Qué tan inseguro(a), desanimado(a), irritado(a), estresado(a) o molesto(a) te sentiste?</t>
  </si>
  <si>
    <r>
      <rPr>
        <b/>
        <sz val="10"/>
        <color theme="1"/>
        <rFont val="Arial"/>
      </rPr>
      <t>Me senti alegre y de buen ánimo.</t>
    </r>
    <r>
      <rPr>
        <sz val="10"/>
        <color theme="1"/>
        <rFont val="Arial"/>
      </rPr>
      <t xml:space="preserve">
0 = En ningún momento, 1 = En algunas veces, 2 = Menos de la mitad del tiempo,
 3 = Más de la mitad del tiempo, 4 = La mayoria del tiempo, 5 = Todo el tiempo</t>
    </r>
  </si>
  <si>
    <r>
      <rPr>
        <b/>
        <sz val="10"/>
        <color theme="1"/>
        <rFont val="Arial"/>
      </rPr>
      <t>Me senti tranquilo(a) y relajado(a).</t>
    </r>
    <r>
      <rPr>
        <sz val="10"/>
        <color theme="1"/>
        <rFont val="Arial"/>
      </rPr>
      <t xml:space="preserve">
0 = En ningún momento, 1 = En algunas veces, 2 = Menos de la mitad del tiempo,
 3 = Más de la mitad del tiempo, 4 = La mayoria del tiempo, 5 = Todo el tiempo</t>
    </r>
  </si>
  <si>
    <r>
      <rPr>
        <b/>
        <sz val="10"/>
        <color theme="1"/>
        <rFont val="Arial"/>
      </rPr>
      <t>Me he senti activo(a) y lleno(a) de energía.</t>
    </r>
    <r>
      <rPr>
        <sz val="10"/>
        <color theme="1"/>
        <rFont val="Arial"/>
      </rPr>
      <t xml:space="preserve">
0 = En ningún momento, 1 = En algunas veces, 2 = Menos de la mitad del tiempo,
 3 = Más de la mitad del tiempo, 4 = La mayoria del tiempo, 5 = Todo el tiempo</t>
    </r>
  </si>
  <si>
    <r>
      <rPr>
        <b/>
        <sz val="10"/>
        <color theme="1"/>
        <rFont val="Arial"/>
      </rPr>
      <t>Me desperte sintiéndome fresco(a) y descansado(a).</t>
    </r>
    <r>
      <rPr>
        <sz val="10"/>
        <color theme="1"/>
        <rFont val="Arial"/>
      </rPr>
      <t xml:space="preserve">
0 = En ningún momento, 1 = En algunas veces, 2 = Menos de la mitad del tiempo,
 3 = Más de la mitad del tiempo, 4 = La mayoria del tiempo, 5 = Todo el tiempo</t>
    </r>
  </si>
  <si>
    <r>
      <rPr>
        <b/>
        <sz val="10"/>
        <color theme="1"/>
        <rFont val="Arial"/>
      </rPr>
      <t>Mi vida diaria ha estado llena de cosas que me interesan.</t>
    </r>
    <r>
      <rPr>
        <sz val="10"/>
        <color theme="1"/>
        <rFont val="Arial"/>
      </rPr>
      <t xml:space="preserve">
0 = En ningún momento, 1 = En algunas veces, 2 = Menos de la mitad del tiempo,
 3 = Más de la mitad del tiempo, 4 = La mayoria del tiempo, 5 = Todo el tiempo</t>
    </r>
  </si>
  <si>
    <t xml:space="preserve">¿Hubo algo que te pareció innecesario o que distrajera durante el uso del sistema?  </t>
  </si>
  <si>
    <t>¿Hubo algo en el sistema que te ayudó a sentirte más tranquilo(a) o confiado(a)?</t>
  </si>
  <si>
    <t>¿Qué cambiarías del sistema para hacerlo más fácil o cómodo de usar?</t>
  </si>
  <si>
    <t>Tienes algun/os comentario/s extra/s acerca de esta experiencia, por favor escribelos</t>
  </si>
  <si>
    <t xml:space="preserve">Denisse Enríquez </t>
  </si>
  <si>
    <t>Femenino</t>
  </si>
  <si>
    <t>Licenciatura</t>
  </si>
  <si>
    <t>A veces la línea era muy delgada y me hacía sentir como si estuviera en un lado que no tenía que estar para seguir la ruta.</t>
  </si>
  <si>
    <t>Mmmm no</t>
  </si>
  <si>
    <t>Hacer la línea azul más ancha o que abarque las area</t>
  </si>
  <si>
    <t xml:space="preserve">A veces se tardo en actualizar mi ubicación y me provocó confusión </t>
  </si>
  <si>
    <t>Adriana María Gonzalez Garcia</t>
  </si>
  <si>
    <t>Que no detectara bien mi ubicación en el mapa, aparecia como a 3 metros de donde yo estaba</t>
  </si>
  <si>
    <t>Que la interfaz era conocida</t>
  </si>
  <si>
    <t>La precision del gps</t>
  </si>
  <si>
    <t xml:space="preserve">Julia Fernanda de la Vega Caamaño </t>
  </si>
  <si>
    <t>N/A</t>
  </si>
  <si>
    <t>Ya sabía a donde ir.</t>
  </si>
  <si>
    <t>Agregar sonido.</t>
  </si>
  <si>
    <t>No funciona del todo bien el mapa con los puntos A y B.</t>
  </si>
  <si>
    <t xml:space="preserve">María Luisa Becerril Hernández </t>
  </si>
  <si>
    <t>No</t>
  </si>
  <si>
    <t xml:space="preserve">Ir viendo la ruta, no ir a ciegas </t>
  </si>
  <si>
    <t xml:space="preserve">Que fuera más preciso porque a veces como que se movía mucho mi ubicación sin moverme </t>
  </si>
  <si>
    <t>Fue interesante ver la ruta dentro</t>
  </si>
  <si>
    <t xml:space="preserve">Santiago Ambriz </t>
  </si>
  <si>
    <t>Masculino</t>
  </si>
  <si>
    <t xml:space="preserve">Estar viendo el cel y que no estuviera en la linea del maps </t>
  </si>
  <si>
    <t xml:space="preserve">No mucho </t>
  </si>
  <si>
    <t xml:space="preserve">Pues que me mostrar un zoom mas profundo y me indique por donde puedo cambiar como peatón </t>
  </si>
  <si>
    <t xml:space="preserve">No ninguno mas </t>
  </si>
  <si>
    <t xml:space="preserve">Ana Laura Matus Marcos </t>
  </si>
  <si>
    <t xml:space="preserve">el rayo del sol, como estaba muy intenso se me dificultó ver que focos estaban encendidos </t>
  </si>
  <si>
    <t xml:space="preserve">Que estaba fijo a mi muñeca y no se me podía caer </t>
  </si>
  <si>
    <t xml:space="preserve">Cambiar las correas que lo sujetan, utilizar otro material para el soporte del dispositivo </t>
  </si>
  <si>
    <t xml:space="preserve">Jose Eduardo Echavarría Rodríguez </t>
  </si>
  <si>
    <t xml:space="preserve">La prueba fue en un estacionamiento, por lo que hubo que prestar atención especial al flujo vehicular. </t>
  </si>
  <si>
    <t xml:space="preserve">Que Google maps tiene un seguimiento activo en tiempo real de tu avance en la ruta. </t>
  </si>
  <si>
    <t xml:space="preserve">Que no fuera en un estacionamiento. </t>
  </si>
  <si>
    <t xml:space="preserve">No </t>
  </si>
  <si>
    <t xml:space="preserve">Carol Granciano </t>
  </si>
  <si>
    <t>20 años</t>
  </si>
  <si>
    <t>El símbolo que indicaba hacia donde moverme no se actualizaba, por lo que era difícil seguir el camino exacto sin confundirse.</t>
  </si>
  <si>
    <t xml:space="preserve">El recorrido completo estaba señalado por una linea azul </t>
  </si>
  <si>
    <t xml:space="preserve">Incluiría flechas en tiempo real para señalar la dirección a la que tengo que dirigirme </t>
  </si>
  <si>
    <t xml:space="preserve">David Alejandro Lambarria Gómez </t>
  </si>
  <si>
    <t>Nada</t>
  </si>
  <si>
    <t>El gps</t>
  </si>
  <si>
    <t>Talitha Mar Casillas Cerón</t>
  </si>
  <si>
    <t>no</t>
  </si>
  <si>
    <t>ver la ruta completa</t>
  </si>
  <si>
    <t>que fuera más preciso en el mapa</t>
  </si>
  <si>
    <t xml:space="preserve">ya estaba acostumbrada al sistema y siento que eso hizo que fuera todo más fácil </t>
  </si>
  <si>
    <t>Sarah Mestre Cabseco</t>
  </si>
  <si>
    <t>Nunca pude estar exactamente sobre la línea, eso me molestó pero no podía caminar sobre los carros</t>
  </si>
  <si>
    <t>Seguir mi propio punto</t>
  </si>
  <si>
    <t xml:space="preserve">Que se pueda ver que ya caminaste </t>
  </si>
  <si>
    <t xml:space="preserve">Estuvo bien, muy casual </t>
  </si>
  <si>
    <t>Dulce María García Bonifacio</t>
  </si>
  <si>
    <t>Que puedes ver la ruta con cierta anticipación y saber desde antes hacia donde moverte</t>
  </si>
  <si>
    <t>Que te recordara un poco antes de dar vuelta</t>
  </si>
  <si>
    <t>Sofía Revuelta Vallarta</t>
  </si>
  <si>
    <t>Era dificil presentar atención a los coches y a la pantalla</t>
  </si>
  <si>
    <t>Poder ver la ruta completa desde toda la pantalla</t>
  </si>
  <si>
    <t>El uso de sonido para no tener que ver la pantalla pues puede causar accidentes</t>
  </si>
  <si>
    <t>Resultado Cuestionario completo del WHO-5 Well Being Index</t>
  </si>
  <si>
    <t>Resultado Interpretado</t>
  </si>
  <si>
    <t>TOTAL</t>
  </si>
  <si>
    <t>PROMEDIO</t>
  </si>
  <si>
    <t>Adecuado/bueno</t>
  </si>
  <si>
    <t>Moderada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</si>
</sst>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b/>
      <sz val="10"/>
      <color rgb="FF000000"/>
      <name val="Arial"/>
      <family val="2"/>
      <scheme val="minor"/>
    </font>
    <font>
      <sz val="12"/>
      <color rgb="FF001D35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5" fillId="0" borderId="0" xfId="0" applyFont="1"/>
    <xf numFmtId="22" fontId="6" fillId="3" borderId="10" xfId="0" applyNumberFormat="1" applyFont="1" applyFill="1" applyBorder="1" applyAlignment="1">
      <alignment horizontal="right"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5" fillId="3" borderId="12" xfId="0" applyFont="1" applyFill="1" applyBorder="1" applyAlignment="1">
      <alignment vertical="center" wrapText="1"/>
    </xf>
    <xf numFmtId="22" fontId="6" fillId="4" borderId="13" xfId="0" applyNumberFormat="1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right" vertical="center" wrapText="1"/>
    </xf>
    <xf numFmtId="0" fontId="5" fillId="4" borderId="15" xfId="0" applyFont="1" applyFill="1" applyBorder="1" applyAlignment="1">
      <alignment vertical="center" wrapText="1"/>
    </xf>
    <xf numFmtId="164" fontId="1" fillId="0" borderId="16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5" fillId="0" borderId="0" xfId="0" quotePrefix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1228725</xdr:colOff>
      <xdr:row>20</xdr:row>
      <xdr:rowOff>161925</xdr:rowOff>
    </xdr:from>
    <xdr:to>
      <xdr:col>5</xdr:col>
      <xdr:colOff>1019973</xdr:colOff>
      <xdr:row>28</xdr:row>
      <xdr:rowOff>76411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5D9F8B-C9C1-6008-1795-BF7DC6165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6025" y="4057650"/>
          <a:ext cx="5715798" cy="1514686"/>
        </a:xfrm>
        <a:prstGeom prst="rect">
          <a:avLst/>
        </a:prstGeom>
      </xdr:spPr>
    </xdr:pic>
    <xdr:clientData/>
  </xdr:twoCellAnchor>
  <xdr:twoCellAnchor editAs="oneCell">
    <xdr:from>
      <xdr:col>1</xdr:col>
      <xdr:colOff>1257300</xdr:colOff>
      <xdr:row>28</xdr:row>
      <xdr:rowOff>171450</xdr:rowOff>
    </xdr:from>
    <xdr:to>
      <xdr:col>5</xdr:col>
      <xdr:colOff>1181916</xdr:colOff>
      <xdr:row>46</xdr:row>
      <xdr:rowOff>114795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F168D0-1E36-C06E-F582-E17D265B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67375"/>
          <a:ext cx="5849166" cy="3543795"/>
        </a:xfrm>
        <a:prstGeom prst="rect">
          <a:avLst/>
        </a:prstGeom>
      </xdr:spPr>
    </xdr:pic>
    <xdr:clientData/>
  </xdr:twoCellAnchor>
  <xdr:twoCellAnchor editAs="oneCell">
    <xdr:from>
      <xdr:col>12</xdr:col>
      <xdr:colOff>1457325</xdr:colOff>
      <xdr:row>22</xdr:row>
      <xdr:rowOff>0</xdr:rowOff>
    </xdr:from>
    <xdr:to>
      <xdr:col>14</xdr:col>
      <xdr:colOff>257707</xdr:colOff>
      <xdr:row>24</xdr:row>
      <xdr:rowOff>142951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4BDD740-A203-4FC8-B4E9-9432C17EE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74700" y="4295775"/>
          <a:ext cx="3810532" cy="543001"/>
        </a:xfrm>
        <a:prstGeom prst="rect">
          <a:avLst/>
        </a:prstGeom>
      </xdr:spPr>
    </xdr:pic>
    <xdr:clientData/>
  </xdr:twoCellAnchor>
  <xdr:twoCellAnchor editAs="oneCell">
    <xdr:from>
      <xdr:col>12</xdr:col>
      <xdr:colOff>781050</xdr:colOff>
      <xdr:row>28</xdr:row>
      <xdr:rowOff>9525</xdr:rowOff>
    </xdr:from>
    <xdr:to>
      <xdr:col>14</xdr:col>
      <xdr:colOff>2296436</xdr:colOff>
      <xdr:row>64</xdr:row>
      <xdr:rowOff>124846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820513-91FA-4034-B320-1408A252F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98425" y="5505450"/>
          <a:ext cx="6525536" cy="731622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4">
  <sortState xmlns:xlrd2="http://schemas.microsoft.com/office/spreadsheetml/2017/richdata2" ref="A2:T12">
    <sortCondition ref="B2:B12"/>
  </sortState>
  <tableColumns count="20">
    <tableColumn id="1" xr3:uid="{00000000-0010-0000-0000-000001000000}" name="Marca temporal"/>
    <tableColumn id="2" xr3:uid="{00000000-0010-0000-0000-000002000000}" name="Escribe tu nombre completo"/>
    <tableColumn id="3" xr3:uid="{00000000-0010-0000-0000-000003000000}" name="Escribe tu edad"/>
    <tableColumn id="4" xr3:uid="{00000000-0010-0000-0000-000004000000}" name="Sexo"/>
    <tableColumn id="5" xr3:uid="{00000000-0010-0000-0000-000005000000}" name="Nivel de educación"/>
    <tableColumn id="6" xr3:uid="{00000000-0010-0000-0000-000006000000}" name="¿Qué tan demandante fue mentalmente la tarea? (Demanda Mental) "/>
    <tableColumn id="7" xr3:uid="{00000000-0010-0000-0000-000007000000}" name="¿Qué tan demandante fue físicamente la tarea? (Demanda Mental) "/>
    <tableColumn id="8" xr3:uid="{00000000-0010-0000-0000-000008000000}" name="¿Qué tan apresurado o acelerado fue el ritmo de la tarea?"/>
    <tableColumn id="9" xr3:uid="{00000000-0010-0000-0000-000009000000}" name="¿Qué tan exitoso(a) fuiste en lograr lo que se te pidió?"/>
    <tableColumn id="10" xr3:uid="{00000000-0010-0000-0000-00000A000000}" name="¿Qué tanto tuviste que esforzarte para lograr tu nivel de desempeño?"/>
    <tableColumn id="11" xr3:uid="{00000000-0010-0000-0000-00000B000000}" name="¿Qué tan inseguro(a), desanimado(a), irritado(a), estresado(a) o molesto(a) te sentiste?"/>
    <tableColumn id="12" xr3:uid="{00000000-0010-0000-0000-00000C000000}" name="Me senti alegre y de buen ánimo._x000a_0 = En ningún momento, 1 = En algunas veces, 2 = Menos de la mitad del tiempo,_x000a_ 3 = Más de la mitad del tiempo, 4 = La mayoria del tiempo, 5 = Todo el tiempo"/>
    <tableColumn id="13" xr3:uid="{00000000-0010-0000-0000-00000D000000}" name="Me senti tranquilo(a) y relajado(a)._x000a_0 = En ningún momento, 1 = En algunas veces, 2 = Menos de la mitad del tiempo,_x000a_ 3 = Más de la mitad del tiempo, 4 = La mayoria del tiempo, 5 = Todo el tiempo"/>
    <tableColumn id="14" xr3:uid="{00000000-0010-0000-0000-00000E000000}" name="Me he senti activo(a) y lleno(a) de energía._x000a_0 = En ningún momento, 1 = En algunas veces, 2 = Menos de la mitad del tiempo,_x000a_ 3 = Más de la mitad del tiempo, 4 = La mayoria del tiempo, 5 = Todo el tiempo"/>
    <tableColumn id="15" xr3:uid="{00000000-0010-0000-0000-00000F000000}" name="Me desperte sintiéndome fresco(a) y descansado(a)._x000a_0 = En ningún momento, 1 = En algunas veces, 2 = Menos de la mitad del tiempo,_x000a_ 3 = Más de la mitad del tiempo, 4 = La mayoria del tiempo, 5 = Todo el tiempo"/>
    <tableColumn id="16" xr3:uid="{00000000-0010-0000-0000-000010000000}" name="Mi vida diaria ha estado llena de cosas que me interesan._x000a_0 = En ningún momento, 1 = En algunas veces, 2 = Menos de la mitad del tiempo,_x000a_ 3 = Más de la mitad del tiempo, 4 = La mayoria del tiempo, 5 = Todo el tiempo"/>
    <tableColumn id="17" xr3:uid="{00000000-0010-0000-0000-000011000000}" name="¿Hubo algo que te pareció innecesario o que distrajera durante el uso del sistema?  "/>
    <tableColumn id="18" xr3:uid="{00000000-0010-0000-0000-000012000000}" name="¿Hubo algo en el sistema que te ayudó a sentirte más tranquilo(a) o confiado(a)?"/>
    <tableColumn id="19" xr3:uid="{00000000-0010-0000-0000-000013000000}" name="¿Qué cambiarías del sistema para hacerlo más fácil o cómodo de usar?"/>
    <tableColumn id="20" xr3:uid="{00000000-0010-0000-0000-000014000000}" name="Tienes algun/os comentario/s extra/s acerca de esta experiencia, por favor escribelo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9"/>
  <sheetViews>
    <sheetView tabSelected="1" topLeftCell="K1" workbookViewId="0">
      <pane ySplit="1" topLeftCell="A2" activePane="bottomLeft" state="frozen"/>
      <selection pane="bottomLeft" activeCell="K17" sqref="K17:P17"/>
    </sheetView>
  </sheetViews>
  <sheetFormatPr baseColWidth="10" defaultColWidth="12.5703125" defaultRowHeight="15.75" customHeight="1" x14ac:dyDescent="0.2"/>
  <cols>
    <col min="1" max="1" width="18.85546875" customWidth="1"/>
    <col min="2" max="2" width="32" bestFit="1" customWidth="1"/>
    <col min="3" max="4" width="18.85546875" customWidth="1"/>
    <col min="5" max="5" width="19.140625" customWidth="1"/>
    <col min="6" max="20" width="37.5703125" customWidth="1"/>
    <col min="21" max="26" width="18.85546875" customWidth="1"/>
  </cols>
  <sheetData>
    <row r="1" spans="1:20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</row>
    <row r="2" spans="1:20" ht="12.75" x14ac:dyDescent="0.2">
      <c r="A2" s="5">
        <v>45897.669423356478</v>
      </c>
      <c r="B2" s="6" t="s">
        <v>27</v>
      </c>
      <c r="C2" s="6">
        <v>26</v>
      </c>
      <c r="D2" s="6" t="s">
        <v>21</v>
      </c>
      <c r="E2" s="6" t="s">
        <v>22</v>
      </c>
      <c r="F2" s="6">
        <v>5</v>
      </c>
      <c r="G2" s="6">
        <v>10</v>
      </c>
      <c r="H2" s="6">
        <v>80</v>
      </c>
      <c r="I2" s="6">
        <v>95</v>
      </c>
      <c r="J2" s="6">
        <v>5</v>
      </c>
      <c r="K2" s="6">
        <v>5</v>
      </c>
      <c r="L2" s="6">
        <v>3</v>
      </c>
      <c r="M2" s="6">
        <v>3</v>
      </c>
      <c r="N2" s="6">
        <v>4</v>
      </c>
      <c r="O2" s="6">
        <v>4</v>
      </c>
      <c r="P2" s="6">
        <v>3</v>
      </c>
      <c r="Q2" s="6" t="s">
        <v>28</v>
      </c>
      <c r="R2" s="6" t="s">
        <v>29</v>
      </c>
      <c r="S2" s="6" t="s">
        <v>30</v>
      </c>
      <c r="T2" s="7"/>
    </row>
    <row r="3" spans="1:20" ht="12.75" x14ac:dyDescent="0.2">
      <c r="A3" s="8">
        <v>45898.696426504626</v>
      </c>
      <c r="B3" s="9" t="s">
        <v>47</v>
      </c>
      <c r="C3" s="9">
        <v>20</v>
      </c>
      <c r="D3" s="9" t="s">
        <v>21</v>
      </c>
      <c r="E3" s="9" t="s">
        <v>22</v>
      </c>
      <c r="F3" s="9">
        <v>50</v>
      </c>
      <c r="G3" s="9">
        <v>0</v>
      </c>
      <c r="H3" s="9">
        <v>50</v>
      </c>
      <c r="I3" s="9">
        <v>90</v>
      </c>
      <c r="J3" s="9">
        <v>30</v>
      </c>
      <c r="K3" s="9">
        <v>0</v>
      </c>
      <c r="L3" s="9">
        <v>5</v>
      </c>
      <c r="M3" s="9">
        <v>5</v>
      </c>
      <c r="N3" s="9">
        <v>5</v>
      </c>
      <c r="O3" s="9">
        <v>5</v>
      </c>
      <c r="P3" s="9">
        <v>5</v>
      </c>
      <c r="Q3" s="9" t="s">
        <v>48</v>
      </c>
      <c r="R3" s="9" t="s">
        <v>49</v>
      </c>
      <c r="S3" s="9" t="s">
        <v>50</v>
      </c>
      <c r="T3" s="10"/>
    </row>
    <row r="4" spans="1:20" ht="12.75" x14ac:dyDescent="0.2">
      <c r="A4" s="5">
        <v>45906.427762141204</v>
      </c>
      <c r="B4" s="6" t="s">
        <v>56</v>
      </c>
      <c r="C4" s="6" t="s">
        <v>57</v>
      </c>
      <c r="D4" s="6" t="s">
        <v>21</v>
      </c>
      <c r="E4" s="6" t="s">
        <v>22</v>
      </c>
      <c r="F4" s="6">
        <v>30</v>
      </c>
      <c r="G4" s="6">
        <v>10</v>
      </c>
      <c r="H4" s="6">
        <v>30</v>
      </c>
      <c r="I4" s="6">
        <v>80</v>
      </c>
      <c r="J4" s="6">
        <v>30</v>
      </c>
      <c r="K4" s="6">
        <v>15</v>
      </c>
      <c r="L4" s="6">
        <v>4</v>
      </c>
      <c r="M4" s="6">
        <v>4</v>
      </c>
      <c r="N4" s="6">
        <v>4</v>
      </c>
      <c r="O4" s="6">
        <v>4</v>
      </c>
      <c r="P4" s="6">
        <v>4</v>
      </c>
      <c r="Q4" s="6" t="s">
        <v>58</v>
      </c>
      <c r="R4" s="6" t="s">
        <v>59</v>
      </c>
      <c r="S4" s="6" t="s">
        <v>60</v>
      </c>
      <c r="T4" s="7" t="s">
        <v>32</v>
      </c>
    </row>
    <row r="5" spans="1:20" ht="12.75" x14ac:dyDescent="0.2">
      <c r="A5" s="8">
        <v>45933.674061157406</v>
      </c>
      <c r="B5" s="9" t="s">
        <v>61</v>
      </c>
      <c r="C5" s="9">
        <v>18</v>
      </c>
      <c r="D5" s="9" t="s">
        <v>42</v>
      </c>
      <c r="E5" s="9" t="s">
        <v>22</v>
      </c>
      <c r="F5" s="9">
        <v>10</v>
      </c>
      <c r="G5" s="9">
        <v>6</v>
      </c>
      <c r="H5" s="9">
        <v>13</v>
      </c>
      <c r="I5" s="9">
        <v>100</v>
      </c>
      <c r="J5" s="9">
        <v>10</v>
      </c>
      <c r="K5" s="9">
        <v>7</v>
      </c>
      <c r="L5" s="9">
        <v>4</v>
      </c>
      <c r="M5" s="9">
        <v>5</v>
      </c>
      <c r="N5" s="9">
        <v>3</v>
      </c>
      <c r="O5" s="9">
        <v>3</v>
      </c>
      <c r="P5" s="9">
        <v>4</v>
      </c>
      <c r="Q5" s="9" t="s">
        <v>62</v>
      </c>
      <c r="R5" s="9" t="s">
        <v>63</v>
      </c>
      <c r="S5" s="9" t="s">
        <v>37</v>
      </c>
      <c r="T5" s="10" t="s">
        <v>37</v>
      </c>
    </row>
    <row r="6" spans="1:20" ht="13.5" thickBot="1" x14ac:dyDescent="0.25">
      <c r="A6" s="5">
        <v>45897.663155057875</v>
      </c>
      <c r="B6" s="6" t="s">
        <v>20</v>
      </c>
      <c r="C6" s="6">
        <v>21</v>
      </c>
      <c r="D6" s="6" t="s">
        <v>21</v>
      </c>
      <c r="E6" s="6" t="s">
        <v>22</v>
      </c>
      <c r="F6" s="6">
        <v>25</v>
      </c>
      <c r="G6" s="6">
        <v>10</v>
      </c>
      <c r="H6" s="6">
        <v>75</v>
      </c>
      <c r="I6" s="6">
        <v>80</v>
      </c>
      <c r="J6" s="6">
        <v>96</v>
      </c>
      <c r="K6" s="6">
        <v>66</v>
      </c>
      <c r="L6" s="6">
        <v>4</v>
      </c>
      <c r="M6" s="6">
        <v>4</v>
      </c>
      <c r="N6" s="6">
        <v>4</v>
      </c>
      <c r="O6" s="6">
        <v>4</v>
      </c>
      <c r="P6" s="6">
        <v>4</v>
      </c>
      <c r="Q6" s="6" t="s">
        <v>23</v>
      </c>
      <c r="R6" s="6" t="s">
        <v>24</v>
      </c>
      <c r="S6" s="6" t="s">
        <v>25</v>
      </c>
      <c r="T6" s="7" t="s">
        <v>26</v>
      </c>
    </row>
    <row r="7" spans="1:20" ht="39" thickBot="1" x14ac:dyDescent="0.25">
      <c r="A7" s="13">
        <v>45943.627187500002</v>
      </c>
      <c r="B7" s="14" t="s">
        <v>74</v>
      </c>
      <c r="C7" s="15">
        <v>20</v>
      </c>
      <c r="D7" s="14" t="s">
        <v>21</v>
      </c>
      <c r="E7" s="14" t="s">
        <v>22</v>
      </c>
      <c r="F7" s="15">
        <v>8</v>
      </c>
      <c r="G7" s="15">
        <v>5</v>
      </c>
      <c r="H7" s="15">
        <v>8</v>
      </c>
      <c r="I7" s="15">
        <v>97</v>
      </c>
      <c r="J7" s="15">
        <v>5</v>
      </c>
      <c r="K7" s="15">
        <v>3</v>
      </c>
      <c r="L7" s="15">
        <v>4</v>
      </c>
      <c r="M7" s="15">
        <v>4</v>
      </c>
      <c r="N7" s="15">
        <v>4</v>
      </c>
      <c r="O7" s="15">
        <v>4</v>
      </c>
      <c r="P7" s="15">
        <v>4</v>
      </c>
      <c r="Q7" s="14" t="s">
        <v>37</v>
      </c>
      <c r="R7" s="14" t="s">
        <v>75</v>
      </c>
      <c r="S7" s="14" t="s">
        <v>76</v>
      </c>
      <c r="T7" s="16"/>
    </row>
    <row r="8" spans="1:20" ht="12.75" x14ac:dyDescent="0.2">
      <c r="A8" s="8">
        <v>45901.498687337968</v>
      </c>
      <c r="B8" s="9" t="s">
        <v>51</v>
      </c>
      <c r="C8" s="9">
        <v>21</v>
      </c>
      <c r="D8" s="9" t="s">
        <v>42</v>
      </c>
      <c r="E8" s="9" t="s">
        <v>22</v>
      </c>
      <c r="F8" s="9">
        <v>15</v>
      </c>
      <c r="G8" s="9">
        <v>20</v>
      </c>
      <c r="H8" s="9">
        <v>30</v>
      </c>
      <c r="I8" s="9">
        <v>90</v>
      </c>
      <c r="J8" s="9">
        <v>10</v>
      </c>
      <c r="K8" s="9">
        <v>20</v>
      </c>
      <c r="L8" s="9">
        <v>5</v>
      </c>
      <c r="M8" s="9">
        <v>3</v>
      </c>
      <c r="N8" s="9">
        <v>2</v>
      </c>
      <c r="O8" s="9">
        <v>3</v>
      </c>
      <c r="P8" s="9">
        <v>4</v>
      </c>
      <c r="Q8" s="9" t="s">
        <v>52</v>
      </c>
      <c r="R8" s="9" t="s">
        <v>53</v>
      </c>
      <c r="S8" s="9" t="s">
        <v>54</v>
      </c>
      <c r="T8" s="10" t="s">
        <v>55</v>
      </c>
    </row>
    <row r="9" spans="1:20" ht="12.75" x14ac:dyDescent="0.2">
      <c r="A9" s="5">
        <v>45897.705431296301</v>
      </c>
      <c r="B9" s="6" t="s">
        <v>31</v>
      </c>
      <c r="C9" s="6">
        <v>22</v>
      </c>
      <c r="D9" s="6" t="s">
        <v>21</v>
      </c>
      <c r="E9" s="6" t="s">
        <v>22</v>
      </c>
      <c r="F9" s="6">
        <v>0</v>
      </c>
      <c r="G9" s="6">
        <v>0</v>
      </c>
      <c r="H9" s="6">
        <v>0</v>
      </c>
      <c r="I9" s="6">
        <v>100</v>
      </c>
      <c r="J9" s="6">
        <v>0</v>
      </c>
      <c r="K9" s="6">
        <v>0</v>
      </c>
      <c r="L9" s="6">
        <v>5</v>
      </c>
      <c r="M9" s="6">
        <v>5</v>
      </c>
      <c r="N9" s="6">
        <v>4</v>
      </c>
      <c r="O9" s="6">
        <v>0</v>
      </c>
      <c r="P9" s="6">
        <v>3</v>
      </c>
      <c r="Q9" s="6" t="s">
        <v>32</v>
      </c>
      <c r="R9" s="6" t="s">
        <v>33</v>
      </c>
      <c r="S9" s="6" t="s">
        <v>34</v>
      </c>
      <c r="T9" s="7" t="s">
        <v>35</v>
      </c>
    </row>
    <row r="10" spans="1:20" ht="12.75" x14ac:dyDescent="0.2">
      <c r="A10" s="8">
        <v>45898.368427465277</v>
      </c>
      <c r="B10" s="9" t="s">
        <v>36</v>
      </c>
      <c r="C10" s="9">
        <v>20</v>
      </c>
      <c r="D10" s="9" t="s">
        <v>21</v>
      </c>
      <c r="E10" s="9" t="s">
        <v>22</v>
      </c>
      <c r="F10" s="9">
        <v>30</v>
      </c>
      <c r="G10" s="9">
        <v>10</v>
      </c>
      <c r="H10" s="9">
        <v>20</v>
      </c>
      <c r="I10" s="9">
        <v>100</v>
      </c>
      <c r="J10" s="9">
        <v>10</v>
      </c>
      <c r="K10" s="9">
        <v>10</v>
      </c>
      <c r="L10" s="9">
        <v>2</v>
      </c>
      <c r="M10" s="9">
        <v>4</v>
      </c>
      <c r="N10" s="9">
        <v>2</v>
      </c>
      <c r="O10" s="9">
        <v>3</v>
      </c>
      <c r="P10" s="9">
        <v>4</v>
      </c>
      <c r="Q10" s="9" t="s">
        <v>37</v>
      </c>
      <c r="R10" s="9" t="s">
        <v>38</v>
      </c>
      <c r="S10" s="9" t="s">
        <v>39</v>
      </c>
      <c r="T10" s="10" t="s">
        <v>40</v>
      </c>
    </row>
    <row r="11" spans="1:20" ht="12.75" x14ac:dyDescent="0.2">
      <c r="A11" s="5">
        <v>45898.611107719902</v>
      </c>
      <c r="B11" s="6" t="s">
        <v>41</v>
      </c>
      <c r="C11" s="6">
        <v>20</v>
      </c>
      <c r="D11" s="6" t="s">
        <v>42</v>
      </c>
      <c r="E11" s="6" t="s">
        <v>22</v>
      </c>
      <c r="F11" s="6">
        <v>15</v>
      </c>
      <c r="G11" s="6">
        <v>25</v>
      </c>
      <c r="H11" s="6">
        <v>36</v>
      </c>
      <c r="I11" s="6">
        <v>100</v>
      </c>
      <c r="J11" s="6">
        <v>50</v>
      </c>
      <c r="K11" s="6">
        <v>70</v>
      </c>
      <c r="L11" s="6">
        <v>3</v>
      </c>
      <c r="M11" s="6">
        <v>4</v>
      </c>
      <c r="N11" s="6">
        <v>5</v>
      </c>
      <c r="O11" s="6">
        <v>5</v>
      </c>
      <c r="P11" s="6">
        <v>5</v>
      </c>
      <c r="Q11" s="6" t="s">
        <v>43</v>
      </c>
      <c r="R11" s="6" t="s">
        <v>44</v>
      </c>
      <c r="S11" s="6" t="s">
        <v>45</v>
      </c>
      <c r="T11" s="7" t="s">
        <v>46</v>
      </c>
    </row>
    <row r="12" spans="1:20" ht="13.5" thickBot="1" x14ac:dyDescent="0.25">
      <c r="A12" s="8">
        <v>45943.559508657403</v>
      </c>
      <c r="B12" s="9" t="s">
        <v>69</v>
      </c>
      <c r="C12" s="9">
        <v>21</v>
      </c>
      <c r="D12" s="9" t="s">
        <v>21</v>
      </c>
      <c r="E12" s="9" t="s">
        <v>22</v>
      </c>
      <c r="F12" s="9">
        <v>10</v>
      </c>
      <c r="G12" s="9">
        <v>20</v>
      </c>
      <c r="H12" s="9">
        <v>20</v>
      </c>
      <c r="I12" s="9">
        <v>80</v>
      </c>
      <c r="J12" s="9">
        <v>20</v>
      </c>
      <c r="K12" s="9">
        <v>10</v>
      </c>
      <c r="L12" s="9">
        <v>4</v>
      </c>
      <c r="M12" s="9">
        <v>3</v>
      </c>
      <c r="N12" s="9">
        <v>4</v>
      </c>
      <c r="O12" s="9">
        <v>4</v>
      </c>
      <c r="P12" s="9">
        <v>4</v>
      </c>
      <c r="Q12" s="9" t="s">
        <v>70</v>
      </c>
      <c r="R12" s="9" t="s">
        <v>71</v>
      </c>
      <c r="S12" s="9" t="s">
        <v>72</v>
      </c>
      <c r="T12" s="10" t="s">
        <v>73</v>
      </c>
    </row>
    <row r="13" spans="1:20" ht="15.75" customHeight="1" thickBot="1" x14ac:dyDescent="0.25">
      <c r="A13" s="17">
        <v>45943.628298611111</v>
      </c>
      <c r="B13" s="18" t="s">
        <v>77</v>
      </c>
      <c r="C13" s="19">
        <v>20</v>
      </c>
      <c r="D13" s="18" t="s">
        <v>21</v>
      </c>
      <c r="E13" s="18" t="s">
        <v>22</v>
      </c>
      <c r="F13" s="19">
        <v>33</v>
      </c>
      <c r="G13" s="19">
        <v>28</v>
      </c>
      <c r="H13" s="19">
        <v>26</v>
      </c>
      <c r="I13" s="19">
        <v>79</v>
      </c>
      <c r="J13" s="19">
        <v>34</v>
      </c>
      <c r="K13" s="19">
        <v>47</v>
      </c>
      <c r="L13" s="19">
        <v>1</v>
      </c>
      <c r="M13" s="19">
        <v>2</v>
      </c>
      <c r="N13" s="19">
        <v>1</v>
      </c>
      <c r="O13" s="19">
        <v>1</v>
      </c>
      <c r="P13" s="19">
        <v>3</v>
      </c>
      <c r="Q13" s="18" t="s">
        <v>78</v>
      </c>
      <c r="R13" s="18" t="s">
        <v>79</v>
      </c>
      <c r="S13" s="18" t="s">
        <v>80</v>
      </c>
      <c r="T13" s="20"/>
    </row>
    <row r="14" spans="1:20" ht="15.75" customHeight="1" x14ac:dyDescent="0.2">
      <c r="A14" s="21">
        <v>45943.552144479167</v>
      </c>
      <c r="B14" s="22" t="s">
        <v>64</v>
      </c>
      <c r="C14" s="22">
        <v>18</v>
      </c>
      <c r="D14" s="22" t="s">
        <v>21</v>
      </c>
      <c r="E14" s="22" t="s">
        <v>22</v>
      </c>
      <c r="F14" s="22">
        <v>0</v>
      </c>
      <c r="G14" s="22">
        <v>0</v>
      </c>
      <c r="H14" s="22">
        <v>90</v>
      </c>
      <c r="I14" s="22">
        <v>100</v>
      </c>
      <c r="J14" s="22">
        <v>0</v>
      </c>
      <c r="K14" s="22">
        <v>0</v>
      </c>
      <c r="L14" s="22">
        <v>4</v>
      </c>
      <c r="M14" s="22">
        <v>4</v>
      </c>
      <c r="N14" s="22">
        <v>5</v>
      </c>
      <c r="O14" s="22">
        <v>5</v>
      </c>
      <c r="P14" s="22">
        <v>5</v>
      </c>
      <c r="Q14" s="22" t="s">
        <v>65</v>
      </c>
      <c r="R14" s="22" t="s">
        <v>66</v>
      </c>
      <c r="S14" s="22" t="s">
        <v>67</v>
      </c>
      <c r="T14" s="23" t="s">
        <v>68</v>
      </c>
    </row>
    <row r="16" spans="1:20" ht="15.75" customHeight="1" x14ac:dyDescent="0.2">
      <c r="F16">
        <f>AVERAGE(F2:F14)</f>
        <v>17.76923076923077</v>
      </c>
      <c r="G16">
        <f t="shared" ref="G16:P16" si="0">AVERAGE(G2:G14)</f>
        <v>11.076923076923077</v>
      </c>
      <c r="H16">
        <f t="shared" si="0"/>
        <v>36.769230769230766</v>
      </c>
      <c r="I16">
        <f t="shared" si="0"/>
        <v>91.615384615384613</v>
      </c>
      <c r="J16">
        <f t="shared" si="0"/>
        <v>23.076923076923077</v>
      </c>
      <c r="K16">
        <f t="shared" si="0"/>
        <v>19.46153846153846</v>
      </c>
      <c r="L16">
        <f t="shared" si="0"/>
        <v>3.6923076923076925</v>
      </c>
      <c r="M16">
        <f t="shared" si="0"/>
        <v>3.8461538461538463</v>
      </c>
      <c r="N16">
        <f t="shared" si="0"/>
        <v>3.6153846153846154</v>
      </c>
      <c r="O16">
        <f t="shared" si="0"/>
        <v>3.4615384615384617</v>
      </c>
      <c r="P16">
        <f t="shared" si="0"/>
        <v>4</v>
      </c>
    </row>
    <row r="17" spans="2:17" ht="15.75" customHeight="1" x14ac:dyDescent="0.25">
      <c r="B17">
        <f>AVERAGE(Form_Responses[Escribe tu edad])</f>
        <v>20.583333333333332</v>
      </c>
      <c r="F17" s="26">
        <f>_xlfn.STDEV.S(F2:F14)</f>
        <v>14.855716330500785</v>
      </c>
      <c r="G17" s="26">
        <f t="shared" ref="G17:P17" si="1">_xlfn.STDEV.S(G2:G14)</f>
        <v>9.4645086019783982</v>
      </c>
      <c r="H17" s="26">
        <f t="shared" si="1"/>
        <v>28.656453159669073</v>
      </c>
      <c r="I17" s="26">
        <f t="shared" si="1"/>
        <v>8.949287323007546</v>
      </c>
      <c r="J17" s="26">
        <f t="shared" si="1"/>
        <v>26.612846329237122</v>
      </c>
      <c r="K17" s="26">
        <f t="shared" si="1"/>
        <v>24.91524093339719</v>
      </c>
      <c r="L17" s="26">
        <f t="shared" si="1"/>
        <v>1.1821319289469758</v>
      </c>
      <c r="M17" s="26">
        <f t="shared" si="1"/>
        <v>0.89871703427291649</v>
      </c>
      <c r="N17" s="26">
        <f t="shared" si="1"/>
        <v>1.2608503439122301</v>
      </c>
      <c r="O17" s="26">
        <f t="shared" si="1"/>
        <v>1.5063966175050874</v>
      </c>
      <c r="P17" s="26">
        <f t="shared" si="1"/>
        <v>0.70710678118654757</v>
      </c>
    </row>
    <row r="18" spans="2:17" ht="15.75" customHeight="1" x14ac:dyDescent="0.2">
      <c r="K18">
        <f>SUM(F2:K2)/6</f>
        <v>33.333333333333336</v>
      </c>
      <c r="L18" s="12" t="str">
        <f>IF(K18&lt;=20,"Muy baja",IF(K18&lt;=40,"Moderada",IF(K18&lt;=60,"Media",IF(K18&lt;=80,"Alta","Muy alta"))))</f>
        <v>Moderada</v>
      </c>
      <c r="P18" s="12"/>
      <c r="Q18" s="24"/>
    </row>
    <row r="19" spans="2:17" ht="15.75" customHeight="1" x14ac:dyDescent="0.2">
      <c r="K19">
        <f t="shared" ref="K19:K30" si="2">SUM(F3:K3)/6</f>
        <v>36.666666666666664</v>
      </c>
      <c r="L19" s="12" t="str">
        <f t="shared" ref="L19:L30" si="3">IF(K19&lt;=20,"Muy baja",IF(K19&lt;=40,"Moderada",IF(K19&lt;=60,"Media",IF(K19&lt;=80,"Alta","Muy alta"))))</f>
        <v>Moderada</v>
      </c>
      <c r="P19">
        <f>SUM(L2:P2)*4</f>
        <v>68</v>
      </c>
      <c r="Q19" s="12" t="str">
        <f>IF(ISBLANK(P25),"",IF(P25&lt;=28,"Muy bajo: bienestar gravemente reducido; posible depresión",IF(P25&lt;=50,"Bajo: bienestar emocional deteriorado",IF(P25&lt;=100,"Adecuado/bueno: buen bienestar psicológico","Fuera de rango"))))</f>
        <v>Adecuado/bueno: buen bienestar psicológico</v>
      </c>
    </row>
    <row r="20" spans="2:17" ht="15.75" customHeight="1" x14ac:dyDescent="0.2">
      <c r="K20">
        <f t="shared" si="2"/>
        <v>32.5</v>
      </c>
      <c r="L20" s="12" t="str">
        <f t="shared" si="3"/>
        <v>Moderada</v>
      </c>
      <c r="O20" s="12" t="s">
        <v>81</v>
      </c>
      <c r="P20">
        <f t="shared" ref="P20:P31" si="4">SUM(L3:P3)*4</f>
        <v>100</v>
      </c>
      <c r="Q20" s="12" t="str">
        <f t="shared" ref="Q20:Q31" si="5">IF(ISBLANK(P20),"",IF(P20&lt;=28,"Muy bajo: bienestar gravemente reducido; posible depresión",IF(P20&lt;=50,"Bajo: bienestar emocional deteriorado",IF(P20&lt;=100,"Adecuado/bueno: buen bienestar psicológico","Fuera de rango"))))</f>
        <v>Adecuado/bueno: buen bienestar psicológico</v>
      </c>
    </row>
    <row r="21" spans="2:17" ht="15.75" customHeight="1" x14ac:dyDescent="0.2">
      <c r="K21">
        <f t="shared" si="2"/>
        <v>24.333333333333332</v>
      </c>
      <c r="L21" s="12" t="str">
        <f t="shared" si="3"/>
        <v>Moderada</v>
      </c>
      <c r="P21">
        <f t="shared" si="4"/>
        <v>80</v>
      </c>
      <c r="Q21" s="12" t="str">
        <f t="shared" si="5"/>
        <v>Adecuado/bueno: buen bienestar psicológico</v>
      </c>
    </row>
    <row r="22" spans="2:17" ht="15.75" customHeight="1" x14ac:dyDescent="0.2">
      <c r="K22">
        <f t="shared" si="2"/>
        <v>58.666666666666664</v>
      </c>
      <c r="L22" s="12" t="str">
        <f t="shared" si="3"/>
        <v>Media</v>
      </c>
      <c r="P22">
        <f t="shared" si="4"/>
        <v>76</v>
      </c>
      <c r="Q22" s="12" t="str">
        <f t="shared" si="5"/>
        <v>Adecuado/bueno: buen bienestar psicológico</v>
      </c>
    </row>
    <row r="23" spans="2:17" ht="15.75" customHeight="1" x14ac:dyDescent="0.2">
      <c r="K23">
        <f t="shared" si="2"/>
        <v>21</v>
      </c>
      <c r="L23" s="12" t="str">
        <f t="shared" si="3"/>
        <v>Moderada</v>
      </c>
      <c r="P23">
        <f t="shared" si="4"/>
        <v>80</v>
      </c>
      <c r="Q23" s="12" t="str">
        <f t="shared" si="5"/>
        <v>Adecuado/bueno: buen bienestar psicológico</v>
      </c>
    </row>
    <row r="24" spans="2:17" ht="15.75" customHeight="1" x14ac:dyDescent="0.2">
      <c r="K24">
        <f t="shared" si="2"/>
        <v>30.833333333333332</v>
      </c>
      <c r="L24" s="12" t="str">
        <f t="shared" si="3"/>
        <v>Moderada</v>
      </c>
      <c r="P24">
        <f t="shared" si="4"/>
        <v>80</v>
      </c>
      <c r="Q24" s="12" t="str">
        <f t="shared" si="5"/>
        <v>Adecuado/bueno: buen bienestar psicológico</v>
      </c>
    </row>
    <row r="25" spans="2:17" ht="15.75" customHeight="1" x14ac:dyDescent="0.2">
      <c r="K25">
        <f t="shared" si="2"/>
        <v>16.666666666666668</v>
      </c>
      <c r="L25" s="12" t="str">
        <f t="shared" si="3"/>
        <v>Muy baja</v>
      </c>
      <c r="P25">
        <f t="shared" si="4"/>
        <v>68</v>
      </c>
      <c r="Q25" s="12" t="str">
        <f t="shared" si="5"/>
        <v>Adecuado/bueno: buen bienestar psicológico</v>
      </c>
    </row>
    <row r="26" spans="2:17" ht="15.75" customHeight="1" x14ac:dyDescent="0.2">
      <c r="K26">
        <f t="shared" si="2"/>
        <v>30</v>
      </c>
      <c r="L26" s="12" t="str">
        <f t="shared" si="3"/>
        <v>Moderada</v>
      </c>
      <c r="P26">
        <f t="shared" si="4"/>
        <v>68</v>
      </c>
      <c r="Q26" s="12" t="str">
        <f t="shared" si="5"/>
        <v>Adecuado/bueno: buen bienestar psicológico</v>
      </c>
    </row>
    <row r="27" spans="2:17" ht="15.75" customHeight="1" x14ac:dyDescent="0.2">
      <c r="K27">
        <f t="shared" si="2"/>
        <v>49.333333333333336</v>
      </c>
      <c r="L27" s="12" t="str">
        <f t="shared" si="3"/>
        <v>Media</v>
      </c>
      <c r="P27">
        <f t="shared" si="4"/>
        <v>60</v>
      </c>
      <c r="Q27" s="12" t="str">
        <f t="shared" si="5"/>
        <v>Adecuado/bueno: buen bienestar psicológico</v>
      </c>
    </row>
    <row r="28" spans="2:17" ht="15.75" customHeight="1" x14ac:dyDescent="0.2">
      <c r="K28">
        <f t="shared" si="2"/>
        <v>26.666666666666668</v>
      </c>
      <c r="L28" s="12" t="str">
        <f t="shared" si="3"/>
        <v>Moderada</v>
      </c>
      <c r="P28">
        <f t="shared" si="4"/>
        <v>88</v>
      </c>
      <c r="Q28" s="12" t="str">
        <f t="shared" si="5"/>
        <v>Adecuado/bueno: buen bienestar psicológico</v>
      </c>
    </row>
    <row r="29" spans="2:17" ht="15.75" customHeight="1" x14ac:dyDescent="0.2">
      <c r="K29">
        <f t="shared" si="2"/>
        <v>41.166666666666664</v>
      </c>
      <c r="L29" s="12" t="str">
        <f t="shared" si="3"/>
        <v>Media</v>
      </c>
      <c r="P29">
        <f t="shared" si="4"/>
        <v>76</v>
      </c>
      <c r="Q29" s="12" t="str">
        <f t="shared" si="5"/>
        <v>Adecuado/bueno: buen bienestar psicológico</v>
      </c>
    </row>
    <row r="30" spans="2:17" ht="15.75" customHeight="1" x14ac:dyDescent="0.2">
      <c r="K30">
        <f t="shared" si="2"/>
        <v>31.666666666666668</v>
      </c>
      <c r="L30" s="12" t="str">
        <f t="shared" si="3"/>
        <v>Moderada</v>
      </c>
      <c r="P30">
        <f t="shared" si="4"/>
        <v>32</v>
      </c>
      <c r="Q30" s="12" t="str">
        <f t="shared" si="5"/>
        <v>Bajo: bienestar emocional deteriorado</v>
      </c>
    </row>
    <row r="31" spans="2:17" ht="15.75" customHeight="1" x14ac:dyDescent="0.2">
      <c r="P31">
        <f t="shared" si="4"/>
        <v>92</v>
      </c>
      <c r="Q31" s="12" t="str">
        <f t="shared" si="5"/>
        <v>Adecuado/bueno: buen bienestar psicológico</v>
      </c>
    </row>
    <row r="32" spans="2:17" ht="15.75" customHeight="1" x14ac:dyDescent="0.2">
      <c r="K32" s="12" t="s">
        <v>83</v>
      </c>
    </row>
    <row r="33" spans="11:17" ht="15.75" customHeight="1" x14ac:dyDescent="0.2">
      <c r="K33" s="25">
        <f>SUM(K18:K30)</f>
        <v>432.83333333333337</v>
      </c>
      <c r="P33" s="12" t="s">
        <v>83</v>
      </c>
      <c r="Q33" s="12" t="s">
        <v>82</v>
      </c>
    </row>
    <row r="34" spans="11:17" ht="15.75" customHeight="1" x14ac:dyDescent="0.2">
      <c r="P34" s="25">
        <f>SUM(P19:P31)</f>
        <v>968</v>
      </c>
    </row>
    <row r="35" spans="11:17" ht="15.75" customHeight="1" x14ac:dyDescent="0.2">
      <c r="K35" s="12" t="s">
        <v>84</v>
      </c>
      <c r="P35" s="12" t="s">
        <v>84</v>
      </c>
    </row>
    <row r="36" spans="11:17" ht="15.75" customHeight="1" x14ac:dyDescent="0.2">
      <c r="K36">
        <f>AVERAGE(K18:K30)</f>
        <v>33.294871794871796</v>
      </c>
      <c r="L36" s="12" t="s">
        <v>86</v>
      </c>
      <c r="P36">
        <f>AVERAGE(P19:P31)</f>
        <v>74.461538461538467</v>
      </c>
      <c r="Q36" s="12" t="s">
        <v>85</v>
      </c>
    </row>
    <row r="38" spans="11:17" ht="15.75" customHeight="1" x14ac:dyDescent="0.2">
      <c r="K38" s="12"/>
    </row>
    <row r="39" spans="11:17" ht="15.75" customHeight="1" x14ac:dyDescent="0.25">
      <c r="K39" s="26"/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 Cruz</cp:lastModifiedBy>
  <dcterms:modified xsi:type="dcterms:W3CDTF">2025-11-06T00:29:20Z</dcterms:modified>
</cp:coreProperties>
</file>